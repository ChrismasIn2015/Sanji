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filterPrivacy="1" codeName="ThisWorkbook"/>
  <xr:revisionPtr revIDLastSave="0" documentId="13_ncr:1_{A4854CD9-4844-4BFF-82C8-F0C711DE2EC4}" xr6:coauthVersionLast="43" xr6:coauthVersionMax="43" xr10:uidLastSave="{00000000-0000-0000-0000-000000000000}"/>
  <bookViews>
    <workbookView xWindow="20580" yWindow="3480" windowWidth="16965" windowHeight="16620" xr2:uid="{00000000-000D-0000-FFFF-FFFF00000000}"/>
  </bookViews>
  <sheets>
    <sheet name="基础知识" sheetId="4" r:id="rId1"/>
    <sheet name="凭证" sheetId="2" r:id="rId2"/>
  </sheets>
  <definedNames>
    <definedName name="_xlnm._FilterDatabase" localSheetId="1" hidden="1">凭证!$A$3:$U$223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5" i="2" l="1"/>
  <c r="K6" i="2" l="1"/>
  <c r="K7" i="2" s="1"/>
  <c r="K8" i="2" s="1"/>
  <c r="K9" i="2" s="1"/>
  <c r="K10" i="2" s="1"/>
  <c r="K11" i="2" s="1"/>
  <c r="K12" i="2" s="1"/>
  <c r="K13" i="2" s="1"/>
  <c r="K14" i="2" s="1"/>
  <c r="K15" i="2" s="1"/>
  <c r="K16" i="2" s="1"/>
  <c r="K17" i="2" s="1"/>
  <c r="K18" i="2" s="1"/>
  <c r="K19" i="2" s="1"/>
  <c r="K20" i="2" s="1"/>
  <c r="K21" i="2" s="1"/>
  <c r="K22" i="2" s="1"/>
  <c r="K23" i="2" s="1"/>
  <c r="K24" i="2" s="1"/>
  <c r="K25" i="2" s="1"/>
  <c r="K26" i="2" s="1"/>
  <c r="K27" i="2" s="1"/>
  <c r="K28" i="2" s="1"/>
  <c r="K29" i="2" s="1"/>
  <c r="K30" i="2" s="1"/>
  <c r="K31" i="2" s="1"/>
  <c r="K32" i="2" s="1"/>
  <c r="K33" i="2" s="1"/>
  <c r="K34" i="2" s="1"/>
  <c r="K35" i="2" s="1"/>
  <c r="K36" i="2" s="1"/>
  <c r="K37" i="2" s="1"/>
  <c r="K38" i="2" s="1"/>
  <c r="K39" i="2" s="1"/>
  <c r="K40" i="2" s="1"/>
  <c r="K41" i="2" s="1"/>
  <c r="K42" i="2" s="1"/>
  <c r="K43" i="2" s="1"/>
  <c r="K44" i="2" s="1"/>
  <c r="K45" i="2" s="1"/>
  <c r="K46" i="2" s="1"/>
  <c r="K47" i="2" s="1"/>
  <c r="K48" i="2" s="1"/>
  <c r="K49" i="2" s="1"/>
  <c r="K50" i="2" s="1"/>
  <c r="K51" i="2" s="1"/>
  <c r="K52" i="2" s="1"/>
  <c r="K53" i="2" s="1"/>
  <c r="K54" i="2" s="1"/>
  <c r="K55" i="2" s="1"/>
  <c r="K56" i="2" s="1"/>
  <c r="K57" i="2" s="1"/>
  <c r="K58" i="2" s="1"/>
  <c r="K59" i="2" s="1"/>
  <c r="K60" i="2" s="1"/>
  <c r="K61" i="2" s="1"/>
  <c r="K62" i="2" s="1"/>
  <c r="K63" i="2" s="1"/>
  <c r="K64" i="2" s="1"/>
  <c r="K65" i="2" s="1"/>
  <c r="K66" i="2" s="1"/>
  <c r="K67" i="2" s="1"/>
  <c r="K68" i="2" s="1"/>
  <c r="K69" i="2" s="1"/>
  <c r="K70" i="2" s="1"/>
  <c r="K71" i="2" s="1"/>
  <c r="K72" i="2" s="1"/>
  <c r="K73" i="2" s="1"/>
  <c r="K74" i="2" s="1"/>
  <c r="K75" i="2" s="1"/>
  <c r="K76" i="2" s="1"/>
  <c r="K77" i="2" s="1"/>
  <c r="K78" i="2" s="1"/>
  <c r="K79" i="2" s="1"/>
  <c r="K80" i="2" s="1"/>
  <c r="K81" i="2" s="1"/>
  <c r="K82" i="2" s="1"/>
  <c r="K83" i="2" s="1"/>
  <c r="K84" i="2" s="1"/>
  <c r="K85" i="2" s="1"/>
  <c r="K86" i="2" s="1"/>
  <c r="K87" i="2" s="1"/>
  <c r="K88" i="2" s="1"/>
  <c r="K89" i="2" s="1"/>
  <c r="K90" i="2" s="1"/>
  <c r="K91" i="2" s="1"/>
  <c r="K92" i="2" s="1"/>
  <c r="K93" i="2" s="1"/>
  <c r="K94" i="2" s="1"/>
  <c r="K95" i="2" s="1"/>
  <c r="K96" i="2" s="1"/>
  <c r="K97" i="2" s="1"/>
  <c r="K98" i="2" s="1"/>
  <c r="K99" i="2" s="1"/>
  <c r="K100" i="2" s="1"/>
  <c r="K101" i="2" s="1"/>
  <c r="K102" i="2" s="1"/>
  <c r="K103" i="2" s="1"/>
  <c r="K104" i="2" s="1"/>
  <c r="K105" i="2" s="1"/>
  <c r="K106" i="2" s="1"/>
  <c r="K107" i="2" s="1"/>
  <c r="K108" i="2" s="1"/>
  <c r="K109" i="2" s="1"/>
  <c r="K110" i="2" s="1"/>
  <c r="K111" i="2" s="1"/>
  <c r="K112" i="2" s="1"/>
  <c r="K113" i="2" s="1"/>
  <c r="K114" i="2" s="1"/>
  <c r="K115" i="2" s="1"/>
  <c r="K116" i="2" s="1"/>
  <c r="K117" i="2" s="1"/>
  <c r="K118" i="2" s="1"/>
  <c r="K119" i="2" s="1"/>
  <c r="K120" i="2" s="1"/>
  <c r="K121" i="2" s="1"/>
  <c r="K122" i="2" s="1"/>
  <c r="K123" i="2" s="1"/>
  <c r="K124" i="2" s="1"/>
  <c r="K125" i="2" s="1"/>
  <c r="K126" i="2" s="1"/>
  <c r="K127" i="2" s="1"/>
  <c r="K128" i="2" s="1"/>
  <c r="K129" i="2" s="1"/>
  <c r="K130" i="2" s="1"/>
  <c r="K131" i="2" s="1"/>
  <c r="K132" i="2" s="1"/>
  <c r="K133" i="2" s="1"/>
  <c r="K134" i="2" s="1"/>
  <c r="K135" i="2" s="1"/>
  <c r="K136" i="2" s="1"/>
  <c r="K137" i="2" s="1"/>
  <c r="K138" i="2" s="1"/>
  <c r="K139" i="2" s="1"/>
  <c r="K140" i="2" s="1"/>
  <c r="K141" i="2" s="1"/>
  <c r="K142" i="2" s="1"/>
  <c r="K143" i="2" s="1"/>
  <c r="K144" i="2" s="1"/>
  <c r="K145" i="2" s="1"/>
  <c r="K146" i="2" s="1"/>
  <c r="K147" i="2" s="1"/>
  <c r="K148" i="2" s="1"/>
  <c r="K149" i="2" s="1"/>
  <c r="K150" i="2" s="1"/>
  <c r="K151" i="2" s="1"/>
  <c r="K152" i="2" s="1"/>
  <c r="K153" i="2" s="1"/>
  <c r="K154" i="2" s="1"/>
  <c r="K155" i="2" s="1"/>
  <c r="K156" i="2" s="1"/>
  <c r="K157" i="2" s="1"/>
  <c r="K158" i="2" s="1"/>
  <c r="K159" i="2" s="1"/>
  <c r="K160" i="2" s="1"/>
  <c r="K161" i="2" s="1"/>
  <c r="K162" i="2" s="1"/>
  <c r="K163" i="2" s="1"/>
  <c r="K164" i="2" s="1"/>
  <c r="K165" i="2" s="1"/>
  <c r="K166" i="2" s="1"/>
  <c r="K167" i="2" s="1"/>
  <c r="K168" i="2" s="1"/>
  <c r="K169" i="2" s="1"/>
  <c r="K170" i="2" s="1"/>
  <c r="K171" i="2" s="1"/>
  <c r="K172" i="2" s="1"/>
  <c r="K173" i="2" s="1"/>
  <c r="K174" i="2" s="1"/>
  <c r="K175" i="2" s="1"/>
  <c r="K176" i="2" s="1"/>
  <c r="K177" i="2" s="1"/>
  <c r="K178" i="2" s="1"/>
  <c r="K179" i="2" s="1"/>
  <c r="K180" i="2" s="1"/>
</calcChain>
</file>

<file path=xl/sharedStrings.xml><?xml version="1.0" encoding="utf-8"?>
<sst xmlns="http://schemas.openxmlformats.org/spreadsheetml/2006/main" count="1180" uniqueCount="354">
  <si>
    <t>一级科目</t>
    <phoneticPr fontId="1" type="noConversion"/>
  </si>
  <si>
    <t>二级科目</t>
    <phoneticPr fontId="1" type="noConversion"/>
  </si>
  <si>
    <t>借</t>
    <phoneticPr fontId="1" type="noConversion"/>
  </si>
  <si>
    <t>贷</t>
    <phoneticPr fontId="1" type="noConversion"/>
  </si>
  <si>
    <t>货币资金</t>
    <phoneticPr fontId="1" type="noConversion"/>
  </si>
  <si>
    <t>银行存款</t>
    <phoneticPr fontId="1" type="noConversion"/>
  </si>
  <si>
    <t>库存现金</t>
    <phoneticPr fontId="1" type="noConversion"/>
  </si>
  <si>
    <t>方向</t>
    <phoneticPr fontId="1" type="noConversion"/>
  </si>
  <si>
    <t>交易性金融资产</t>
    <phoneticPr fontId="1" type="noConversion"/>
  </si>
  <si>
    <t>衍生金融资产</t>
    <phoneticPr fontId="1" type="noConversion"/>
  </si>
  <si>
    <t>应收票据及应收账款</t>
    <phoneticPr fontId="1" type="noConversion"/>
  </si>
  <si>
    <t>行编号</t>
    <phoneticPr fontId="1" type="noConversion"/>
  </si>
  <si>
    <t>列编号</t>
    <phoneticPr fontId="1" type="noConversion"/>
  </si>
  <si>
    <t>应收票据</t>
    <phoneticPr fontId="1" type="noConversion"/>
  </si>
  <si>
    <t>应收账款</t>
    <phoneticPr fontId="1" type="noConversion"/>
  </si>
  <si>
    <t>预付账款</t>
    <phoneticPr fontId="1" type="noConversion"/>
  </si>
  <si>
    <t>其他应收款</t>
    <phoneticPr fontId="1" type="noConversion"/>
  </si>
  <si>
    <t>存货</t>
    <phoneticPr fontId="1" type="noConversion"/>
  </si>
  <si>
    <t>合同资产</t>
    <phoneticPr fontId="1" type="noConversion"/>
  </si>
  <si>
    <t>持有待售资产</t>
    <phoneticPr fontId="1" type="noConversion"/>
  </si>
  <si>
    <t>一年内到期的非流动资产</t>
    <phoneticPr fontId="1" type="noConversion"/>
  </si>
  <si>
    <t>其他流动资产</t>
    <phoneticPr fontId="1" type="noConversion"/>
  </si>
  <si>
    <t>债权投资</t>
    <phoneticPr fontId="1" type="noConversion"/>
  </si>
  <si>
    <t>其他债权投资</t>
    <phoneticPr fontId="1" type="noConversion"/>
  </si>
  <si>
    <t>长期应收款</t>
    <phoneticPr fontId="1" type="noConversion"/>
  </si>
  <si>
    <t>长期股权投资</t>
    <phoneticPr fontId="1" type="noConversion"/>
  </si>
  <si>
    <t>其他权益工具投资</t>
    <phoneticPr fontId="1" type="noConversion"/>
  </si>
  <si>
    <t>其他非流动金融资产</t>
    <phoneticPr fontId="1" type="noConversion"/>
  </si>
  <si>
    <t>投资性房地产</t>
    <phoneticPr fontId="1" type="noConversion"/>
  </si>
  <si>
    <t>固定资产</t>
    <phoneticPr fontId="1" type="noConversion"/>
  </si>
  <si>
    <t>在建工程</t>
    <phoneticPr fontId="1" type="noConversion"/>
  </si>
  <si>
    <t>生产性生物资产</t>
    <phoneticPr fontId="1" type="noConversion"/>
  </si>
  <si>
    <t>油气资产</t>
    <phoneticPr fontId="1" type="noConversion"/>
  </si>
  <si>
    <t>无形资产</t>
    <phoneticPr fontId="1" type="noConversion"/>
  </si>
  <si>
    <t>开发支出</t>
    <phoneticPr fontId="1" type="noConversion"/>
  </si>
  <si>
    <t>商誉</t>
    <phoneticPr fontId="1" type="noConversion"/>
  </si>
  <si>
    <t>长期待摊费用</t>
    <phoneticPr fontId="1" type="noConversion"/>
  </si>
  <si>
    <t>递延所得税资产</t>
    <phoneticPr fontId="1" type="noConversion"/>
  </si>
  <si>
    <t>其他非流动资产</t>
    <phoneticPr fontId="1" type="noConversion"/>
  </si>
  <si>
    <t>公允价值变动损益</t>
    <phoneticPr fontId="1" type="noConversion"/>
  </si>
  <si>
    <t>待处理财产损益</t>
    <phoneticPr fontId="1" type="noConversion"/>
  </si>
  <si>
    <t>短期借款</t>
    <phoneticPr fontId="1" type="noConversion"/>
  </si>
  <si>
    <t>交易性金融负债</t>
    <phoneticPr fontId="1" type="noConversion"/>
  </si>
  <si>
    <t>衍生金融负债</t>
    <phoneticPr fontId="1" type="noConversion"/>
  </si>
  <si>
    <t>应付票据及应付账款</t>
    <phoneticPr fontId="1" type="noConversion"/>
  </si>
  <si>
    <t>预收款项</t>
    <phoneticPr fontId="1" type="noConversion"/>
  </si>
  <si>
    <t>合同负债</t>
    <phoneticPr fontId="1" type="noConversion"/>
  </si>
  <si>
    <t>应付职工薪酬</t>
    <phoneticPr fontId="1" type="noConversion"/>
  </si>
  <si>
    <t>应交税费</t>
    <phoneticPr fontId="1" type="noConversion"/>
  </si>
  <si>
    <t>其他应付款</t>
    <phoneticPr fontId="1" type="noConversion"/>
  </si>
  <si>
    <t>持有待售负债</t>
    <phoneticPr fontId="1" type="noConversion"/>
  </si>
  <si>
    <t>一年内到期的非流动负债</t>
    <phoneticPr fontId="1" type="noConversion"/>
  </si>
  <si>
    <t>其他流动负债</t>
    <phoneticPr fontId="1" type="noConversion"/>
  </si>
  <si>
    <t>长期借款</t>
    <phoneticPr fontId="1" type="noConversion"/>
  </si>
  <si>
    <t>应付债券</t>
    <phoneticPr fontId="1" type="noConversion"/>
  </si>
  <si>
    <t>长期应付款</t>
    <phoneticPr fontId="1" type="noConversion"/>
  </si>
  <si>
    <t>预计负债</t>
    <phoneticPr fontId="1" type="noConversion"/>
  </si>
  <si>
    <t>递延收益</t>
    <phoneticPr fontId="1" type="noConversion"/>
  </si>
  <si>
    <t>递延所得税负债</t>
    <phoneticPr fontId="1" type="noConversion"/>
  </si>
  <si>
    <t>其他非流动负债</t>
    <phoneticPr fontId="1" type="noConversion"/>
  </si>
  <si>
    <t>实收资本</t>
    <phoneticPr fontId="1" type="noConversion"/>
  </si>
  <si>
    <t>资本公积</t>
    <phoneticPr fontId="1" type="noConversion"/>
  </si>
  <si>
    <t>其他综合收益</t>
    <phoneticPr fontId="1" type="noConversion"/>
  </si>
  <si>
    <t>盈余公积</t>
    <phoneticPr fontId="1" type="noConversion"/>
  </si>
  <si>
    <t>未分配利润</t>
    <phoneticPr fontId="1" type="noConversion"/>
  </si>
  <si>
    <t>其他货币资金</t>
    <phoneticPr fontId="1" type="noConversion"/>
  </si>
  <si>
    <t>短期投资</t>
    <phoneticPr fontId="1" type="noConversion"/>
  </si>
  <si>
    <t>应收股利</t>
    <phoneticPr fontId="1" type="noConversion"/>
  </si>
  <si>
    <t>坏账准备</t>
    <phoneticPr fontId="1" type="noConversion"/>
  </si>
  <si>
    <t>材料采购</t>
    <phoneticPr fontId="1" type="noConversion"/>
  </si>
  <si>
    <t>原材料</t>
    <phoneticPr fontId="1" type="noConversion"/>
  </si>
  <si>
    <t>在途物资</t>
    <phoneticPr fontId="1" type="noConversion"/>
  </si>
  <si>
    <t>库存商品</t>
    <phoneticPr fontId="1" type="noConversion"/>
  </si>
  <si>
    <t>委托加工物资</t>
    <phoneticPr fontId="1" type="noConversion"/>
  </si>
  <si>
    <t>包装物</t>
    <phoneticPr fontId="1" type="noConversion"/>
  </si>
  <si>
    <t>低值易耗品</t>
    <phoneticPr fontId="1" type="noConversion"/>
  </si>
  <si>
    <t>存货跌价准备</t>
    <phoneticPr fontId="1" type="noConversion"/>
  </si>
  <si>
    <t>固定资产</t>
    <phoneticPr fontId="1" type="noConversion"/>
  </si>
  <si>
    <t>累计折旧</t>
    <phoneticPr fontId="1" type="noConversion"/>
  </si>
  <si>
    <t>固定资产减值准备</t>
    <phoneticPr fontId="1" type="noConversion"/>
  </si>
  <si>
    <t>在建工程</t>
    <phoneticPr fontId="1" type="noConversion"/>
  </si>
  <si>
    <t>无形资产</t>
    <phoneticPr fontId="1" type="noConversion"/>
  </si>
  <si>
    <t>累计摊销</t>
    <phoneticPr fontId="1" type="noConversion"/>
  </si>
  <si>
    <t>商誉</t>
    <phoneticPr fontId="1" type="noConversion"/>
  </si>
  <si>
    <t>长期待摊费用</t>
    <phoneticPr fontId="1" type="noConversion"/>
  </si>
  <si>
    <t>债权投资</t>
    <phoneticPr fontId="1" type="noConversion"/>
  </si>
  <si>
    <t>其他非流动金融资产</t>
  </si>
  <si>
    <t>投资性房地产</t>
  </si>
  <si>
    <t>长期股权投资</t>
    <phoneticPr fontId="1" type="noConversion"/>
  </si>
  <si>
    <t>其他权益工具投资</t>
    <phoneticPr fontId="1" type="noConversion"/>
  </si>
  <si>
    <t>投资性房地产累计折旧</t>
    <phoneticPr fontId="1" type="noConversion"/>
  </si>
  <si>
    <t>开发支出</t>
    <phoneticPr fontId="1" type="noConversion"/>
  </si>
  <si>
    <t>应付职工薪酬</t>
  </si>
  <si>
    <t>持有待售负债</t>
  </si>
  <si>
    <t>一年内到期的非流动负债</t>
  </si>
  <si>
    <t>其他流动负债</t>
  </si>
  <si>
    <t>短期借款</t>
    <phoneticPr fontId="1" type="noConversion"/>
  </si>
  <si>
    <t>交易性金融负债</t>
    <phoneticPr fontId="1" type="noConversion"/>
  </si>
  <si>
    <t>衍生金融负债</t>
    <phoneticPr fontId="1" type="noConversion"/>
  </si>
  <si>
    <t>应付票据</t>
    <phoneticPr fontId="1" type="noConversion"/>
  </si>
  <si>
    <t>应付账款</t>
    <phoneticPr fontId="1" type="noConversion"/>
  </si>
  <si>
    <t>预收账款</t>
    <phoneticPr fontId="1" type="noConversion"/>
  </si>
  <si>
    <t>其他应付款</t>
    <phoneticPr fontId="1" type="noConversion"/>
  </si>
  <si>
    <t>长期借款</t>
  </si>
  <si>
    <t>长期应付款</t>
  </si>
  <si>
    <t>合同负债</t>
    <phoneticPr fontId="1" type="noConversion"/>
  </si>
  <si>
    <t>预计负债</t>
  </si>
  <si>
    <t>递延收益</t>
  </si>
  <si>
    <t>递延所得税负债</t>
  </si>
  <si>
    <t>其他非流动负债</t>
  </si>
  <si>
    <t>实收资本</t>
  </si>
  <si>
    <t>资本公积</t>
  </si>
  <si>
    <t>其他综合收益</t>
  </si>
  <si>
    <t>盈余公积</t>
  </si>
  <si>
    <t>未分配利润</t>
  </si>
  <si>
    <t>主营业务收入</t>
  </si>
  <si>
    <t>主营业务收入</t>
    <phoneticPr fontId="1" type="noConversion"/>
  </si>
  <si>
    <t>其他业务收入</t>
  </si>
  <si>
    <t>其他业务收入</t>
    <phoneticPr fontId="1" type="noConversion"/>
  </si>
  <si>
    <t>营业外收入</t>
  </si>
  <si>
    <t>营业外收入</t>
    <phoneticPr fontId="1" type="noConversion"/>
  </si>
  <si>
    <t>主营业务成本</t>
  </si>
  <si>
    <t>主营业务成本</t>
    <phoneticPr fontId="1" type="noConversion"/>
  </si>
  <si>
    <t>其他业务成本</t>
  </si>
  <si>
    <t>其他业务成本</t>
    <phoneticPr fontId="1" type="noConversion"/>
  </si>
  <si>
    <t>销售费用</t>
  </si>
  <si>
    <t>销售费用</t>
    <phoneticPr fontId="1" type="noConversion"/>
  </si>
  <si>
    <t>管理费用</t>
  </si>
  <si>
    <t>管理费用</t>
    <phoneticPr fontId="1" type="noConversion"/>
  </si>
  <si>
    <t>财务费用</t>
  </si>
  <si>
    <t>财务费用</t>
    <phoneticPr fontId="1" type="noConversion"/>
  </si>
  <si>
    <t>资产减值损失</t>
  </si>
  <si>
    <t>资产减值损失</t>
    <phoneticPr fontId="1" type="noConversion"/>
  </si>
  <si>
    <t>投资收益</t>
  </si>
  <si>
    <t>投资收益</t>
    <phoneticPr fontId="1" type="noConversion"/>
  </si>
  <si>
    <t>生产成本</t>
  </si>
  <si>
    <t>生产成本</t>
    <phoneticPr fontId="1" type="noConversion"/>
  </si>
  <si>
    <t>制造费用</t>
  </si>
  <si>
    <t>制造费用</t>
    <phoneticPr fontId="1" type="noConversion"/>
  </si>
  <si>
    <t>其他权益工具</t>
    <phoneticPr fontId="1" type="noConversion"/>
  </si>
  <si>
    <t>优先股</t>
    <phoneticPr fontId="1" type="noConversion"/>
  </si>
  <si>
    <t>永续债</t>
    <phoneticPr fontId="1" type="noConversion"/>
  </si>
  <si>
    <t>国际组织</t>
    <phoneticPr fontId="1" type="noConversion"/>
  </si>
  <si>
    <t>T</t>
    <phoneticPr fontId="1" type="noConversion"/>
  </si>
  <si>
    <t>基层组织</t>
    <phoneticPr fontId="1" type="noConversion"/>
  </si>
  <si>
    <t>社会保障</t>
    <phoneticPr fontId="1" type="noConversion"/>
  </si>
  <si>
    <t>人民政协/民主党派</t>
    <phoneticPr fontId="1" type="noConversion"/>
  </si>
  <si>
    <t>国家机构</t>
    <phoneticPr fontId="1" type="noConversion"/>
  </si>
  <si>
    <t>中国共产党机关</t>
    <phoneticPr fontId="1" type="noConversion"/>
  </si>
  <si>
    <t>公共管理/社会保障</t>
    <phoneticPr fontId="1" type="noConversion"/>
  </si>
  <si>
    <t>S</t>
    <phoneticPr fontId="1" type="noConversion"/>
  </si>
  <si>
    <t>文化/体育/娱乐业</t>
    <phoneticPr fontId="1" type="noConversion"/>
  </si>
  <si>
    <t>R</t>
    <phoneticPr fontId="1" type="noConversion"/>
  </si>
  <si>
    <t>社会工作</t>
    <phoneticPr fontId="1" type="noConversion"/>
  </si>
  <si>
    <t>卫生</t>
    <phoneticPr fontId="1" type="noConversion"/>
  </si>
  <si>
    <t>卫生/社会工作</t>
    <phoneticPr fontId="1" type="noConversion"/>
  </si>
  <si>
    <t>Q</t>
    <phoneticPr fontId="1" type="noConversion"/>
  </si>
  <si>
    <t>教育</t>
    <phoneticPr fontId="1" type="noConversion"/>
  </si>
  <si>
    <t>P</t>
    <phoneticPr fontId="1" type="noConversion"/>
  </si>
  <si>
    <t>其他服务业</t>
    <phoneticPr fontId="1" type="noConversion"/>
  </si>
  <si>
    <t>日用维修业</t>
    <phoneticPr fontId="1" type="noConversion"/>
  </si>
  <si>
    <t>居民服务业</t>
    <phoneticPr fontId="1" type="noConversion"/>
  </si>
  <si>
    <t>居民服务维修</t>
    <phoneticPr fontId="1" type="noConversion"/>
  </si>
  <si>
    <t>O</t>
    <phoneticPr fontId="1" type="noConversion"/>
  </si>
  <si>
    <t>水利/环境/公共设施管理</t>
    <phoneticPr fontId="1" type="noConversion"/>
  </si>
  <si>
    <t>N</t>
    <phoneticPr fontId="1" type="noConversion"/>
  </si>
  <si>
    <t>科学研究/技术服务</t>
    <phoneticPr fontId="1" type="noConversion"/>
  </si>
  <si>
    <t>M</t>
    <phoneticPr fontId="1" type="noConversion"/>
  </si>
  <si>
    <t>租赁/商业服务</t>
    <phoneticPr fontId="1" type="noConversion"/>
  </si>
  <si>
    <t>L</t>
    <phoneticPr fontId="1" type="noConversion"/>
  </si>
  <si>
    <t>房地产业</t>
    <phoneticPr fontId="1" type="noConversion"/>
  </si>
  <si>
    <t>K</t>
    <phoneticPr fontId="1" type="noConversion"/>
  </si>
  <si>
    <t>保险业</t>
    <phoneticPr fontId="1" type="noConversion"/>
  </si>
  <si>
    <t>资本市场服务</t>
    <phoneticPr fontId="1" type="noConversion"/>
  </si>
  <si>
    <t>货币金融服务</t>
    <phoneticPr fontId="1" type="noConversion"/>
  </si>
  <si>
    <t>金融业</t>
    <phoneticPr fontId="1" type="noConversion"/>
  </si>
  <si>
    <t>J</t>
    <phoneticPr fontId="1" type="noConversion"/>
  </si>
  <si>
    <t>信息传输/软件/技术服务</t>
    <phoneticPr fontId="1" type="noConversion"/>
  </si>
  <si>
    <t>I</t>
    <phoneticPr fontId="1" type="noConversion"/>
  </si>
  <si>
    <t>住宿餐饮</t>
    <phoneticPr fontId="1" type="noConversion"/>
  </si>
  <si>
    <t>H</t>
    <phoneticPr fontId="1" type="noConversion"/>
  </si>
  <si>
    <t>邮政</t>
    <phoneticPr fontId="1" type="noConversion"/>
  </si>
  <si>
    <t>仓储</t>
    <phoneticPr fontId="1" type="noConversion"/>
  </si>
  <si>
    <t>管道</t>
    <phoneticPr fontId="1" type="noConversion"/>
  </si>
  <si>
    <t>航空</t>
    <phoneticPr fontId="1" type="noConversion"/>
  </si>
  <si>
    <t>水上</t>
    <phoneticPr fontId="1" type="noConversion"/>
  </si>
  <si>
    <t xml:space="preserve">道路 </t>
    <phoneticPr fontId="1" type="noConversion"/>
  </si>
  <si>
    <t>铁路</t>
    <phoneticPr fontId="1" type="noConversion"/>
  </si>
  <si>
    <t>交通运输/仓储邮政</t>
    <phoneticPr fontId="1" type="noConversion"/>
  </si>
  <si>
    <t>G</t>
    <phoneticPr fontId="1" type="noConversion"/>
  </si>
  <si>
    <t>零售业</t>
    <phoneticPr fontId="1" type="noConversion"/>
  </si>
  <si>
    <t>批发业</t>
    <phoneticPr fontId="1" type="noConversion"/>
  </si>
  <si>
    <t>批发零售</t>
    <phoneticPr fontId="1" type="noConversion"/>
  </si>
  <si>
    <t>F</t>
    <phoneticPr fontId="1" type="noConversion"/>
  </si>
  <si>
    <t>建筑安装/装修</t>
    <phoneticPr fontId="1" type="noConversion"/>
  </si>
  <si>
    <t>土木工程</t>
    <phoneticPr fontId="1" type="noConversion"/>
  </si>
  <si>
    <t>房屋建筑</t>
    <phoneticPr fontId="1" type="noConversion"/>
  </si>
  <si>
    <t>建筑业</t>
    <phoneticPr fontId="1" type="noConversion"/>
  </si>
  <si>
    <t>E</t>
    <phoneticPr fontId="1" type="noConversion"/>
  </si>
  <si>
    <t>电热燃水生产供应</t>
    <phoneticPr fontId="1" type="noConversion"/>
  </si>
  <si>
    <t>D</t>
    <phoneticPr fontId="1" type="noConversion"/>
  </si>
  <si>
    <t>产品聚合</t>
    <phoneticPr fontId="1" type="noConversion"/>
  </si>
  <si>
    <t>原材料加工</t>
    <phoneticPr fontId="1" type="noConversion"/>
  </si>
  <si>
    <t>制造业</t>
    <phoneticPr fontId="1" type="noConversion"/>
  </si>
  <si>
    <t>C</t>
    <phoneticPr fontId="1" type="noConversion"/>
  </si>
  <si>
    <t>有色金属</t>
    <phoneticPr fontId="1" type="noConversion"/>
  </si>
  <si>
    <t>天然气</t>
    <phoneticPr fontId="1" type="noConversion"/>
  </si>
  <si>
    <t>石油</t>
    <phoneticPr fontId="1" type="noConversion"/>
  </si>
  <si>
    <t>煤炭</t>
    <phoneticPr fontId="1" type="noConversion"/>
  </si>
  <si>
    <t>采矿业</t>
    <phoneticPr fontId="1" type="noConversion"/>
  </si>
  <si>
    <t>B</t>
    <phoneticPr fontId="1" type="noConversion"/>
  </si>
  <si>
    <t>农林渔牧业</t>
    <phoneticPr fontId="1" type="noConversion"/>
  </si>
  <si>
    <t>A</t>
    <phoneticPr fontId="1" type="noConversion"/>
  </si>
  <si>
    <t>租赁</t>
    <phoneticPr fontId="1" type="noConversion"/>
  </si>
  <si>
    <t>商业服务</t>
    <phoneticPr fontId="1" type="noConversion"/>
  </si>
  <si>
    <t>营业外支出</t>
    <phoneticPr fontId="1" type="noConversion"/>
  </si>
  <si>
    <t>营业外支出</t>
    <phoneticPr fontId="1" type="noConversion"/>
  </si>
  <si>
    <t>第一产业</t>
    <phoneticPr fontId="1" type="noConversion"/>
  </si>
  <si>
    <t>第二产业</t>
    <phoneticPr fontId="1" type="noConversion"/>
  </si>
  <si>
    <t>第三产业</t>
    <phoneticPr fontId="1" type="noConversion"/>
  </si>
  <si>
    <t>服务业-无物质生产</t>
    <phoneticPr fontId="1" type="noConversion"/>
  </si>
  <si>
    <t>凭证号</t>
    <phoneticPr fontId="1" type="noConversion"/>
  </si>
  <si>
    <t>增值税</t>
    <phoneticPr fontId="1" type="noConversion"/>
  </si>
  <si>
    <t>消费税</t>
    <phoneticPr fontId="1" type="noConversion"/>
  </si>
  <si>
    <t>工程物资</t>
    <phoneticPr fontId="1" type="noConversion"/>
  </si>
  <si>
    <t>资本化研发支出</t>
    <phoneticPr fontId="1" type="noConversion"/>
  </si>
  <si>
    <t>费用化研发支出</t>
    <phoneticPr fontId="1" type="noConversion"/>
  </si>
  <si>
    <t>税金及附加</t>
    <phoneticPr fontId="1" type="noConversion"/>
  </si>
  <si>
    <t>税金及附加</t>
    <phoneticPr fontId="1" type="noConversion"/>
  </si>
  <si>
    <t>研发费用</t>
    <phoneticPr fontId="1" type="noConversion"/>
  </si>
  <si>
    <t>研发费用</t>
    <phoneticPr fontId="1" type="noConversion"/>
  </si>
  <si>
    <t>#</t>
    <phoneticPr fontId="1" type="noConversion"/>
  </si>
  <si>
    <t>备注</t>
  </si>
  <si>
    <t>净敞口套期收益</t>
  </si>
  <si>
    <t>公允价值变动收益</t>
  </si>
  <si>
    <t>资产处置收益</t>
  </si>
  <si>
    <t>净敞口套期收益</t>
    <phoneticPr fontId="1" type="noConversion"/>
  </si>
  <si>
    <t>公允价值变动收益</t>
    <phoneticPr fontId="1" type="noConversion"/>
  </si>
  <si>
    <t>资产处置收益</t>
    <phoneticPr fontId="1" type="noConversion"/>
  </si>
  <si>
    <t>日期</t>
    <phoneticPr fontId="1" type="noConversion"/>
  </si>
  <si>
    <t>劳务成本</t>
    <phoneticPr fontId="1" type="noConversion"/>
  </si>
  <si>
    <t>原材料产出</t>
    <phoneticPr fontId="1" type="noConversion"/>
  </si>
  <si>
    <t>加工商品制造</t>
    <phoneticPr fontId="1" type="noConversion"/>
  </si>
  <si>
    <t>融资</t>
  </si>
  <si>
    <t>存货</t>
  </si>
  <si>
    <t>固定资产</t>
  </si>
  <si>
    <t>无形资产</t>
  </si>
  <si>
    <t>投资</t>
  </si>
  <si>
    <t>获取</t>
    <phoneticPr fontId="1" type="noConversion"/>
  </si>
  <si>
    <t>持有</t>
    <phoneticPr fontId="1" type="noConversion"/>
  </si>
  <si>
    <t>处置</t>
    <phoneticPr fontId="1" type="noConversion"/>
  </si>
  <si>
    <t>生产资料</t>
    <phoneticPr fontId="1" type="noConversion"/>
  </si>
  <si>
    <t>劳务</t>
    <phoneticPr fontId="1" type="noConversion"/>
  </si>
  <si>
    <t>非自然因素</t>
    <phoneticPr fontId="1" type="noConversion"/>
  </si>
  <si>
    <t>物资</t>
    <phoneticPr fontId="1" type="noConversion"/>
  </si>
  <si>
    <t>1.外购原材料，无发票</t>
    <phoneticPr fontId="1" type="noConversion"/>
  </si>
  <si>
    <t>2.外购原材料，获得发票</t>
    <phoneticPr fontId="1" type="noConversion"/>
  </si>
  <si>
    <t>3.外购原材料，材料入库损毁</t>
    <phoneticPr fontId="1" type="noConversion"/>
  </si>
  <si>
    <t>4.外购原材料，付款</t>
    <phoneticPr fontId="1" type="noConversion"/>
  </si>
  <si>
    <t>1.外购原材料，预付款</t>
    <phoneticPr fontId="1" type="noConversion"/>
  </si>
  <si>
    <t>2.外购原材料，取得发票</t>
    <phoneticPr fontId="1" type="noConversion"/>
  </si>
  <si>
    <t>3.外购原材料，补齐预付款</t>
    <phoneticPr fontId="1" type="noConversion"/>
  </si>
  <si>
    <t xml:space="preserve"> 1.外购商品，取得发票</t>
    <phoneticPr fontId="1" type="noConversion"/>
  </si>
  <si>
    <t xml:space="preserve"> 2.外购商品入库</t>
    <phoneticPr fontId="1" type="noConversion"/>
  </si>
  <si>
    <t>1.生产商品，领用原材料</t>
    <phoneticPr fontId="1" type="noConversion"/>
  </si>
  <si>
    <t>2.生产产品，制造费用结转</t>
    <phoneticPr fontId="1" type="noConversion"/>
  </si>
  <si>
    <t>3.生产产品，产品入库</t>
    <phoneticPr fontId="1" type="noConversion"/>
  </si>
  <si>
    <t>1.委托加工商品，发出材料</t>
    <phoneticPr fontId="1" type="noConversion"/>
  </si>
  <si>
    <t>2.委托加工商品，支付费用</t>
    <phoneticPr fontId="1" type="noConversion"/>
  </si>
  <si>
    <t>3.委托加工收回</t>
    <phoneticPr fontId="1" type="noConversion"/>
  </si>
  <si>
    <t>1.购入固定资产</t>
    <phoneticPr fontId="1" type="noConversion"/>
  </si>
  <si>
    <t>2.购入固定资产，安装费</t>
    <phoneticPr fontId="1" type="noConversion"/>
  </si>
  <si>
    <t>3.购入固定资产，安装完毕</t>
    <phoneticPr fontId="1" type="noConversion"/>
  </si>
  <si>
    <t>2.自制固定资产，领用工程物资</t>
    <phoneticPr fontId="1" type="noConversion"/>
  </si>
  <si>
    <t>1.自制固定资产，购买工程物资</t>
    <phoneticPr fontId="1" type="noConversion"/>
  </si>
  <si>
    <t>3.自制固定资产，领用原材料</t>
    <phoneticPr fontId="1" type="noConversion"/>
  </si>
  <si>
    <t>4.自制固定资产，进项税滞后抵扣</t>
    <phoneticPr fontId="1" type="noConversion"/>
  </si>
  <si>
    <t>5.自制固定资产，结算工程人员工资</t>
    <phoneticPr fontId="1" type="noConversion"/>
  </si>
  <si>
    <t>6.自制固定资产，结算其他费用</t>
    <phoneticPr fontId="1" type="noConversion"/>
  </si>
  <si>
    <t>7.自制固定资产，交付使用</t>
    <phoneticPr fontId="1" type="noConversion"/>
  </si>
  <si>
    <t>1.购入固定资产，按出包进度结算工程款</t>
    <phoneticPr fontId="1" type="noConversion"/>
  </si>
  <si>
    <t>2.购入固定资产，工程出包验收</t>
    <phoneticPr fontId="1" type="noConversion"/>
  </si>
  <si>
    <t>1.购入无形资产专利权</t>
    <phoneticPr fontId="1" type="noConversion"/>
  </si>
  <si>
    <t>1.进行投资，取得房产用于出租</t>
    <phoneticPr fontId="1" type="noConversion"/>
  </si>
  <si>
    <t>1.生产商品，职工薪酬</t>
    <phoneticPr fontId="1" type="noConversion"/>
  </si>
  <si>
    <t>材料/商品/其他</t>
    <phoneticPr fontId="1" type="noConversion"/>
  </si>
  <si>
    <t>设备/房产</t>
    <phoneticPr fontId="1" type="noConversion"/>
  </si>
  <si>
    <t>专有权</t>
    <phoneticPr fontId="1" type="noConversion"/>
  </si>
  <si>
    <t>利息调整</t>
    <phoneticPr fontId="1" type="noConversion"/>
  </si>
  <si>
    <t>应收利息</t>
    <phoneticPr fontId="1" type="noConversion"/>
  </si>
  <si>
    <t>#持有至到期投资</t>
    <phoneticPr fontId="1" type="noConversion"/>
  </si>
  <si>
    <t>#可供出售金融资产：债权</t>
    <phoneticPr fontId="1" type="noConversion"/>
  </si>
  <si>
    <t>#可供出售金融资产：股票</t>
    <phoneticPr fontId="1" type="noConversion"/>
  </si>
  <si>
    <t>1.收到无形资产，收到专利权投资</t>
    <phoneticPr fontId="1" type="noConversion"/>
  </si>
  <si>
    <t>2.进行投资，持有至到期，取得债券(票面)</t>
    <phoneticPr fontId="1" type="noConversion"/>
  </si>
  <si>
    <t>2.进行投资，持有至到期，取得债券(票面)，本金</t>
    <phoneticPr fontId="1" type="noConversion"/>
  </si>
  <si>
    <t>2.进行投资，持有至到期，取得债券(票面)，调整用</t>
    <phoneticPr fontId="1" type="noConversion"/>
  </si>
  <si>
    <t>3.进行投资，持有至到期，按期按票面利率计提利息</t>
    <phoneticPr fontId="1" type="noConversion"/>
  </si>
  <si>
    <t>3.进行投资，持有至到期，按期按本金实际利率计提利息</t>
    <phoneticPr fontId="1" type="noConversion"/>
  </si>
  <si>
    <t>4.进行投资，持有至到期，收到利息</t>
    <phoneticPr fontId="1" type="noConversion"/>
  </si>
  <si>
    <t>5.进行投资，持有至到期，到期收回本金</t>
    <phoneticPr fontId="1" type="noConversion"/>
  </si>
  <si>
    <t>2.进行投资，可供出售，取得债券(票面)</t>
    <phoneticPr fontId="1" type="noConversion"/>
  </si>
  <si>
    <t>2.进行投资，可供出售，取得债券(票面)，本金</t>
    <phoneticPr fontId="1" type="noConversion"/>
  </si>
  <si>
    <t>2.进行投资，可供出售，取得债券(票面)，调整用</t>
    <phoneticPr fontId="1" type="noConversion"/>
  </si>
  <si>
    <t>3.进行投资，可供出售，按期按票面利率计提利息</t>
    <phoneticPr fontId="1" type="noConversion"/>
  </si>
  <si>
    <t>3.进行投资，可供出售，按期按本金实际利率计提利息</t>
    <phoneticPr fontId="1" type="noConversion"/>
  </si>
  <si>
    <t>4.进行投资，可供出售，收到利息</t>
    <phoneticPr fontId="1" type="noConversion"/>
  </si>
  <si>
    <t>5.进行投资，可供出售，公允价值减少</t>
    <phoneticPr fontId="1" type="noConversion"/>
  </si>
  <si>
    <t>公允价值变动</t>
    <phoneticPr fontId="1" type="noConversion"/>
  </si>
  <si>
    <t>6.进行投资，可供出售，中途售出债券(票面)</t>
    <phoneticPr fontId="1" type="noConversion"/>
  </si>
  <si>
    <t>3.进行投资，可供出售，差额调整利息</t>
    <phoneticPr fontId="1" type="noConversion"/>
  </si>
  <si>
    <t>3.进行投资，持有至到期，差额调整利息</t>
    <phoneticPr fontId="1" type="noConversion"/>
  </si>
  <si>
    <t>6.进行投资，可供出售，中途售出债券，调整</t>
    <phoneticPr fontId="1" type="noConversion"/>
  </si>
  <si>
    <t>6.进行投资，可供出售，中途售出债券，损失</t>
    <phoneticPr fontId="1" type="noConversion"/>
  </si>
  <si>
    <t>6.进行投资，可供出售，中途售出债券，</t>
    <phoneticPr fontId="1" type="noConversion"/>
  </si>
  <si>
    <t>6.进行投资，可供出售，中途售出债券，市场收益+按期收益</t>
    <phoneticPr fontId="1" type="noConversion"/>
  </si>
  <si>
    <t>1.进行投资，预备持有股票</t>
    <phoneticPr fontId="1" type="noConversion"/>
  </si>
  <si>
    <t>2.进行投资，交易性，购入股票</t>
    <phoneticPr fontId="1" type="noConversion"/>
  </si>
  <si>
    <t>3.进行投资，交易性，收到分红</t>
    <phoneticPr fontId="1" type="noConversion"/>
  </si>
  <si>
    <t>4.进行投资，交易性，宣布分红</t>
    <phoneticPr fontId="1" type="noConversion"/>
  </si>
  <si>
    <t>5.进行投资，交易性，收到分红</t>
    <phoneticPr fontId="1" type="noConversion"/>
  </si>
  <si>
    <t>6.进行投资，交易性，股票增值</t>
    <phoneticPr fontId="1" type="noConversion"/>
  </si>
  <si>
    <t>7.进行投资，交易性，出售涨价股票</t>
    <phoneticPr fontId="1" type="noConversion"/>
  </si>
  <si>
    <t>房产/金融/股权</t>
    <phoneticPr fontId="1" type="noConversion"/>
  </si>
  <si>
    <t>1.自制无形资产，研发</t>
    <phoneticPr fontId="1" type="noConversion"/>
  </si>
  <si>
    <t>2.自制无形资产，研发费用资本化</t>
    <phoneticPr fontId="1" type="noConversion"/>
  </si>
  <si>
    <t>3.自制无形资产，研发费用费用化</t>
    <phoneticPr fontId="1" type="noConversion"/>
  </si>
  <si>
    <t>1.进行投资，持有至到期，预备持有债券</t>
    <phoneticPr fontId="1" type="noConversion"/>
  </si>
  <si>
    <t>1.进行投资，可供出售，预备持有债券</t>
    <phoneticPr fontId="1" type="noConversion"/>
  </si>
  <si>
    <t>6.进行投资，可供出售，中途售出债券合同价</t>
    <phoneticPr fontId="1" type="noConversion"/>
  </si>
  <si>
    <t>1.进行投资，将自有厂房用于出租</t>
    <phoneticPr fontId="1" type="noConversion"/>
  </si>
  <si>
    <t>2.进行投资，出租的厂房计提折旧</t>
    <phoneticPr fontId="1" type="noConversion"/>
  </si>
  <si>
    <t>3.进行投资，出租的投资性房产收到租金(11%)</t>
    <phoneticPr fontId="1" type="noConversion"/>
  </si>
  <si>
    <t>4.进行投资，出售所有房产</t>
    <phoneticPr fontId="1" type="noConversion"/>
  </si>
  <si>
    <t>4.进行投资，出售所有房产 - 11%</t>
    <phoneticPr fontId="1" type="noConversion"/>
  </si>
  <si>
    <t>4.进行投资，出售所有房产，结转成本</t>
    <phoneticPr fontId="1" type="noConversion"/>
  </si>
  <si>
    <t>1.进行投资，吸收合并100%</t>
    <phoneticPr fontId="1" type="noConversion"/>
  </si>
  <si>
    <t>1.进行融资，获取短期流动资金</t>
    <phoneticPr fontId="1" type="noConversion"/>
  </si>
  <si>
    <t>应付股利</t>
    <phoneticPr fontId="1" type="noConversion"/>
  </si>
  <si>
    <t>应付利息</t>
    <phoneticPr fontId="1" type="noConversion"/>
  </si>
  <si>
    <t>2.进行融资，短期流动资金按期计提融资利息</t>
    <phoneticPr fontId="1" type="noConversion"/>
  </si>
  <si>
    <t>3.进行融资，短期流动资金到期一次还本付息</t>
    <phoneticPr fontId="1" type="noConversion"/>
  </si>
  <si>
    <t>贷款/发行债券</t>
    <phoneticPr fontId="1" type="noConversion"/>
  </si>
  <si>
    <t>处置</t>
  </si>
  <si>
    <t>到期结转</t>
    <phoneticPr fontId="1" type="noConversion"/>
  </si>
  <si>
    <t>1.进行融资，收到其他公司投资</t>
    <phoneticPr fontId="1" type="noConversion"/>
  </si>
  <si>
    <t>库存股</t>
    <phoneticPr fontId="1" type="noConversion"/>
  </si>
  <si>
    <t>1.进行融资，上市发行股票，1kw股，溢价1块</t>
    <phoneticPr fontId="1" type="noConversion"/>
  </si>
  <si>
    <t>1.进行融资，上市发行股票，1kw股，现价4块</t>
    <phoneticPr fontId="1" type="noConversion"/>
  </si>
  <si>
    <t>1.进行融资，上市发行股票，1kw股，本金3块</t>
    <phoneticPr fontId="1" type="noConversion"/>
  </si>
  <si>
    <t>2.进行融资，回购股票1bw股，成本5元</t>
    <phoneticPr fontId="1" type="noConversion"/>
  </si>
  <si>
    <t>股本溢价</t>
    <phoneticPr fontId="1" type="noConversion"/>
  </si>
  <si>
    <t>2.进行融资，回购股票1bw股，本金3块</t>
    <phoneticPr fontId="1" type="noConversion"/>
  </si>
  <si>
    <t>2.进行融资，回购股票1bw股，溢价部分2元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</si>
</sst>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14" fontId="2" fillId="2" borderId="0" xfId="0" applyNumberFormat="1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44" fontId="2" fillId="3" borderId="0" xfId="0" applyNumberFormat="1" applyFont="1" applyFill="1" applyAlignment="1">
      <alignment horizontal="center"/>
    </xf>
    <xf numFmtId="44" fontId="0" fillId="0" borderId="0" xfId="0" applyNumberFormat="1"/>
    <xf numFmtId="44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2" fillId="4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7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7" borderId="1" xfId="0" applyFill="1" applyBorder="1" applyAlignment="1">
      <alignment horizontal="center"/>
    </xf>
    <xf numFmtId="0" fontId="2" fillId="7" borderId="2" xfId="0" applyFont="1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2" fillId="7" borderId="4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8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0" fillId="0" borderId="1" xfId="0" applyBorder="1"/>
    <xf numFmtId="14" fontId="0" fillId="0" borderId="0" xfId="0" applyNumberFormat="1" applyAlignment="1">
      <alignment horizontal="center"/>
    </xf>
    <xf numFmtId="0" fontId="3" fillId="0" borderId="1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2" borderId="0" xfId="0" applyFont="1" applyFill="1" applyAlignment="1">
      <alignment horizontal="left"/>
    </xf>
    <xf numFmtId="0" fontId="0" fillId="4" borderId="12" xfId="0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14" fontId="4" fillId="4" borderId="0" xfId="0" applyNumberFormat="1" applyFont="1" applyFill="1" applyAlignment="1">
      <alignment horizontal="center"/>
    </xf>
    <xf numFmtId="0" fontId="8" fillId="4" borderId="10" xfId="0" applyFont="1" applyFill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0</xdr:row>
          <xdr:rowOff>57150</xdr:rowOff>
        </xdr:from>
        <xdr:to>
          <xdr:col>10</xdr:col>
          <xdr:colOff>628650</xdr:colOff>
          <xdr:row>1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填入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0</xdr:row>
          <xdr:rowOff>57150</xdr:rowOff>
        </xdr:from>
        <xdr:to>
          <xdr:col>11</xdr:col>
          <xdr:colOff>628650</xdr:colOff>
          <xdr:row>1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账簿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C92EC-B249-4486-A402-401262DA7F16}">
  <sheetPr codeName="Sheet1"/>
  <dimension ref="B1:N113"/>
  <sheetViews>
    <sheetView tabSelected="1" workbookViewId="0">
      <selection activeCell="C33" sqref="C33"/>
    </sheetView>
  </sheetViews>
  <sheetFormatPr defaultRowHeight="14.25" x14ac:dyDescent="0.2"/>
  <cols>
    <col min="1" max="1" width="3.875" customWidth="1"/>
    <col min="2" max="2" width="3.125" bestFit="1" customWidth="1"/>
    <col min="3" max="3" width="23" style="2" bestFit="1" customWidth="1"/>
    <col min="4" max="4" width="18.375" bestFit="1" customWidth="1"/>
    <col min="5" max="5" width="14.75" bestFit="1" customWidth="1"/>
    <col min="6" max="6" width="18" bestFit="1" customWidth="1"/>
    <col min="9" max="10" width="5.25" bestFit="1" customWidth="1"/>
    <col min="11" max="11" width="4.25" customWidth="1"/>
    <col min="12" max="12" width="16.625" customWidth="1"/>
    <col min="13" max="13" width="18.375" style="2" bestFit="1" customWidth="1"/>
    <col min="14" max="14" width="3.5" style="37" bestFit="1" customWidth="1"/>
    <col min="15" max="15" width="44.5" bestFit="1" customWidth="1"/>
  </cols>
  <sheetData>
    <row r="1" spans="2:14" ht="15" thickBot="1" x14ac:dyDescent="0.25"/>
    <row r="2" spans="2:14" ht="15" thickBot="1" x14ac:dyDescent="0.25">
      <c r="B2" s="48"/>
      <c r="C2" s="40"/>
      <c r="D2" s="39">
        <v>1</v>
      </c>
      <c r="E2" s="40">
        <v>2</v>
      </c>
      <c r="F2" s="40">
        <v>3</v>
      </c>
      <c r="G2" s="40">
        <v>4</v>
      </c>
      <c r="H2" s="40">
        <v>5</v>
      </c>
      <c r="I2" s="40">
        <v>6</v>
      </c>
      <c r="J2" s="41">
        <v>7</v>
      </c>
    </row>
    <row r="3" spans="2:14" x14ac:dyDescent="0.2">
      <c r="B3" s="39" t="s">
        <v>212</v>
      </c>
      <c r="C3" s="40" t="s">
        <v>211</v>
      </c>
      <c r="D3" s="39"/>
      <c r="E3" s="40"/>
      <c r="F3" s="40"/>
      <c r="G3" s="40"/>
      <c r="H3" s="40"/>
      <c r="I3" s="40"/>
      <c r="J3" s="41"/>
    </row>
    <row r="4" spans="2:14" x14ac:dyDescent="0.2">
      <c r="B4" s="42" t="s">
        <v>210</v>
      </c>
      <c r="C4" s="2" t="s">
        <v>209</v>
      </c>
      <c r="D4" s="42" t="s">
        <v>208</v>
      </c>
      <c r="E4" s="2" t="s">
        <v>207</v>
      </c>
      <c r="F4" s="2" t="s">
        <v>206</v>
      </c>
      <c r="G4" s="2" t="s">
        <v>205</v>
      </c>
      <c r="H4" s="2"/>
      <c r="I4" s="2"/>
      <c r="J4" s="43"/>
    </row>
    <row r="5" spans="2:14" x14ac:dyDescent="0.2">
      <c r="B5" s="42" t="s">
        <v>204</v>
      </c>
      <c r="C5" s="2" t="s">
        <v>203</v>
      </c>
      <c r="D5" s="47" t="s">
        <v>202</v>
      </c>
      <c r="E5" s="8" t="s">
        <v>201</v>
      </c>
      <c r="F5" s="2"/>
      <c r="G5" s="2"/>
      <c r="H5" s="2"/>
      <c r="I5" s="2"/>
      <c r="J5" s="43"/>
      <c r="M5"/>
    </row>
    <row r="6" spans="2:14" x14ac:dyDescent="0.2">
      <c r="B6" s="42" t="s">
        <v>200</v>
      </c>
      <c r="C6" s="2" t="s">
        <v>199</v>
      </c>
      <c r="D6" s="42"/>
      <c r="E6" s="2"/>
      <c r="F6" s="2"/>
      <c r="G6" s="2"/>
      <c r="H6" s="2"/>
      <c r="I6" s="2"/>
      <c r="J6" s="43"/>
      <c r="M6"/>
    </row>
    <row r="7" spans="2:14" x14ac:dyDescent="0.2">
      <c r="B7" s="42" t="s">
        <v>198</v>
      </c>
      <c r="C7" s="2" t="s">
        <v>197</v>
      </c>
      <c r="D7" s="42" t="s">
        <v>196</v>
      </c>
      <c r="E7" s="2" t="s">
        <v>195</v>
      </c>
      <c r="F7" s="8" t="s">
        <v>194</v>
      </c>
      <c r="G7" s="2"/>
      <c r="H7" s="2"/>
      <c r="I7" s="2"/>
      <c r="J7" s="43"/>
      <c r="M7"/>
      <c r="N7"/>
    </row>
    <row r="8" spans="2:14" x14ac:dyDescent="0.2">
      <c r="B8" s="42" t="s">
        <v>193</v>
      </c>
      <c r="C8" s="2" t="s">
        <v>192</v>
      </c>
      <c r="D8" s="47" t="s">
        <v>191</v>
      </c>
      <c r="E8" s="8" t="s">
        <v>190</v>
      </c>
      <c r="F8" s="2"/>
      <c r="G8" s="2"/>
      <c r="H8" s="2"/>
      <c r="I8" s="2"/>
      <c r="J8" s="43"/>
      <c r="M8"/>
      <c r="N8"/>
    </row>
    <row r="9" spans="2:14" x14ac:dyDescent="0.2">
      <c r="B9" s="42" t="s">
        <v>189</v>
      </c>
      <c r="C9" s="2" t="s">
        <v>188</v>
      </c>
      <c r="D9" s="42" t="s">
        <v>187</v>
      </c>
      <c r="E9" s="2" t="s">
        <v>186</v>
      </c>
      <c r="F9" s="2" t="s">
        <v>185</v>
      </c>
      <c r="G9" s="2" t="s">
        <v>184</v>
      </c>
      <c r="H9" s="2" t="s">
        <v>183</v>
      </c>
      <c r="I9" s="2" t="s">
        <v>182</v>
      </c>
      <c r="J9" s="43" t="s">
        <v>181</v>
      </c>
      <c r="M9"/>
      <c r="N9"/>
    </row>
    <row r="10" spans="2:14" x14ac:dyDescent="0.2">
      <c r="B10" s="42" t="s">
        <v>180</v>
      </c>
      <c r="C10" s="2" t="s">
        <v>179</v>
      </c>
      <c r="D10" s="42"/>
      <c r="E10" s="2"/>
      <c r="F10" s="2"/>
      <c r="G10" s="2"/>
      <c r="H10" s="2"/>
      <c r="I10" s="2"/>
      <c r="J10" s="43"/>
      <c r="M10"/>
      <c r="N10"/>
    </row>
    <row r="11" spans="2:14" x14ac:dyDescent="0.2">
      <c r="B11" s="42" t="s">
        <v>178</v>
      </c>
      <c r="C11" s="2" t="s">
        <v>177</v>
      </c>
      <c r="D11" s="42"/>
      <c r="E11" s="2"/>
      <c r="F11" s="2"/>
      <c r="G11" s="2"/>
      <c r="H11" s="2"/>
      <c r="I11" s="2"/>
      <c r="J11" s="43"/>
      <c r="M11"/>
      <c r="N11"/>
    </row>
    <row r="12" spans="2:14" x14ac:dyDescent="0.2">
      <c r="B12" s="42" t="s">
        <v>176</v>
      </c>
      <c r="C12" s="2" t="s">
        <v>175</v>
      </c>
      <c r="D12" s="42" t="s">
        <v>174</v>
      </c>
      <c r="E12" s="2" t="s">
        <v>173</v>
      </c>
      <c r="F12" s="2" t="s">
        <v>172</v>
      </c>
      <c r="G12" s="2"/>
      <c r="H12" s="2"/>
      <c r="I12" s="2"/>
      <c r="J12" s="43"/>
      <c r="M12"/>
      <c r="N12"/>
    </row>
    <row r="13" spans="2:14" x14ac:dyDescent="0.2">
      <c r="B13" s="42" t="s">
        <v>171</v>
      </c>
      <c r="C13" s="2" t="s">
        <v>170</v>
      </c>
      <c r="D13" s="42"/>
      <c r="E13" s="2"/>
      <c r="F13" s="2"/>
      <c r="G13" s="2"/>
      <c r="H13" s="2"/>
      <c r="I13" s="2"/>
      <c r="J13" s="43"/>
      <c r="M13"/>
      <c r="N13"/>
    </row>
    <row r="14" spans="2:14" x14ac:dyDescent="0.2">
      <c r="B14" s="42" t="s">
        <v>169</v>
      </c>
      <c r="C14" s="2" t="s">
        <v>168</v>
      </c>
      <c r="D14" s="42" t="s">
        <v>213</v>
      </c>
      <c r="E14" s="8" t="s">
        <v>214</v>
      </c>
      <c r="F14" s="2"/>
      <c r="G14" s="2"/>
      <c r="H14" s="2"/>
      <c r="I14" s="2"/>
      <c r="J14" s="43"/>
      <c r="M14"/>
      <c r="N14"/>
    </row>
    <row r="15" spans="2:14" x14ac:dyDescent="0.2">
      <c r="B15" s="42" t="s">
        <v>167</v>
      </c>
      <c r="C15" s="2" t="s">
        <v>166</v>
      </c>
      <c r="D15" s="42"/>
      <c r="E15" s="2"/>
      <c r="F15" s="2"/>
      <c r="G15" s="2"/>
      <c r="H15" s="2"/>
      <c r="I15" s="2"/>
      <c r="J15" s="43"/>
      <c r="M15"/>
      <c r="N15"/>
    </row>
    <row r="16" spans="2:14" x14ac:dyDescent="0.2">
      <c r="B16" s="42" t="s">
        <v>165</v>
      </c>
      <c r="C16" s="2" t="s">
        <v>164</v>
      </c>
      <c r="D16" s="42"/>
      <c r="E16" s="2"/>
      <c r="F16" s="2"/>
      <c r="G16" s="2"/>
      <c r="H16" s="2"/>
      <c r="I16" s="2"/>
      <c r="J16" s="43"/>
      <c r="M16"/>
      <c r="N16"/>
    </row>
    <row r="17" spans="2:14" x14ac:dyDescent="0.2">
      <c r="B17" s="42" t="s">
        <v>163</v>
      </c>
      <c r="C17" s="2" t="s">
        <v>162</v>
      </c>
      <c r="D17" s="47" t="s">
        <v>161</v>
      </c>
      <c r="E17" s="2" t="s">
        <v>160</v>
      </c>
      <c r="F17" s="2" t="s">
        <v>159</v>
      </c>
      <c r="G17" s="2"/>
      <c r="H17" s="2"/>
      <c r="I17" s="2"/>
      <c r="J17" s="43"/>
      <c r="M17"/>
      <c r="N17"/>
    </row>
    <row r="18" spans="2:14" x14ac:dyDescent="0.2">
      <c r="B18" s="42" t="s">
        <v>158</v>
      </c>
      <c r="C18" s="2" t="s">
        <v>157</v>
      </c>
      <c r="D18" s="42"/>
      <c r="E18" s="2"/>
      <c r="F18" s="2"/>
      <c r="G18" s="2"/>
      <c r="H18" s="2"/>
      <c r="I18" s="2"/>
      <c r="J18" s="43"/>
      <c r="M18"/>
      <c r="N18"/>
    </row>
    <row r="19" spans="2:14" x14ac:dyDescent="0.2">
      <c r="B19" s="42" t="s">
        <v>156</v>
      </c>
      <c r="C19" s="2" t="s">
        <v>155</v>
      </c>
      <c r="D19" s="42" t="s">
        <v>154</v>
      </c>
      <c r="E19" s="2" t="s">
        <v>153</v>
      </c>
      <c r="F19" s="2"/>
      <c r="G19" s="2"/>
      <c r="H19" s="2"/>
      <c r="I19" s="2"/>
      <c r="J19" s="43"/>
      <c r="M19"/>
      <c r="N19"/>
    </row>
    <row r="20" spans="2:14" x14ac:dyDescent="0.2">
      <c r="B20" s="42" t="s">
        <v>152</v>
      </c>
      <c r="C20" s="2" t="s">
        <v>151</v>
      </c>
      <c r="D20" s="42"/>
      <c r="E20" s="2"/>
      <c r="F20" s="2"/>
      <c r="G20" s="2"/>
      <c r="H20" s="2"/>
      <c r="I20" s="2"/>
      <c r="J20" s="43"/>
      <c r="M20"/>
      <c r="N20"/>
    </row>
    <row r="21" spans="2:14" x14ac:dyDescent="0.2">
      <c r="B21" s="42" t="s">
        <v>150</v>
      </c>
      <c r="C21" s="2" t="s">
        <v>149</v>
      </c>
      <c r="D21" s="42" t="s">
        <v>148</v>
      </c>
      <c r="E21" s="2" t="s">
        <v>147</v>
      </c>
      <c r="F21" s="2" t="s">
        <v>146</v>
      </c>
      <c r="G21" s="2" t="s">
        <v>145</v>
      </c>
      <c r="H21" s="2" t="s">
        <v>144</v>
      </c>
      <c r="I21" s="2"/>
      <c r="J21" s="43"/>
      <c r="M21"/>
      <c r="N21"/>
    </row>
    <row r="22" spans="2:14" ht="15" thickBot="1" x14ac:dyDescent="0.25">
      <c r="B22" s="44" t="s">
        <v>143</v>
      </c>
      <c r="C22" s="45" t="s">
        <v>142</v>
      </c>
      <c r="D22" s="44"/>
      <c r="E22" s="45"/>
      <c r="F22" s="45"/>
      <c r="G22" s="45"/>
      <c r="H22" s="45"/>
      <c r="I22" s="45"/>
      <c r="J22" s="46"/>
      <c r="M22"/>
      <c r="N22"/>
    </row>
    <row r="23" spans="2:14" ht="15" thickBot="1" x14ac:dyDescent="0.25">
      <c r="N23"/>
    </row>
    <row r="24" spans="2:14" ht="15" thickBot="1" x14ac:dyDescent="0.25">
      <c r="C24" s="56" t="s">
        <v>251</v>
      </c>
      <c r="I24" s="2"/>
      <c r="J24" s="2"/>
      <c r="K24" s="2"/>
    </row>
    <row r="25" spans="2:14" x14ac:dyDescent="0.2">
      <c r="C25" s="65" t="s">
        <v>254</v>
      </c>
      <c r="D25" s="53" t="s">
        <v>243</v>
      </c>
      <c r="E25" s="53" t="s">
        <v>342</v>
      </c>
      <c r="F25" s="64" t="s">
        <v>248</v>
      </c>
      <c r="G25" s="2"/>
      <c r="H25" s="2"/>
      <c r="I25" s="2"/>
      <c r="J25" s="2"/>
      <c r="K25" s="2"/>
    </row>
    <row r="26" spans="2:14" x14ac:dyDescent="0.2">
      <c r="C26" s="66"/>
      <c r="D26" s="51" t="s">
        <v>244</v>
      </c>
      <c r="E26" s="51" t="s">
        <v>285</v>
      </c>
      <c r="F26" s="63" t="s">
        <v>249</v>
      </c>
      <c r="G26" s="2"/>
      <c r="H26" s="2"/>
      <c r="I26" s="2"/>
      <c r="J26" s="2"/>
      <c r="K26" s="2"/>
    </row>
    <row r="27" spans="2:14" x14ac:dyDescent="0.2">
      <c r="C27" s="66"/>
      <c r="D27" s="51" t="s">
        <v>245</v>
      </c>
      <c r="E27" s="51" t="s">
        <v>286</v>
      </c>
      <c r="F27" s="50" t="s">
        <v>250</v>
      </c>
      <c r="G27" s="2"/>
      <c r="H27" s="2"/>
      <c r="I27" s="2"/>
      <c r="J27" s="2"/>
      <c r="K27" s="2"/>
    </row>
    <row r="28" spans="2:14" x14ac:dyDescent="0.2">
      <c r="C28" s="66"/>
      <c r="D28" s="51" t="s">
        <v>246</v>
      </c>
      <c r="E28" s="51" t="s">
        <v>287</v>
      </c>
      <c r="F28" s="50" t="s">
        <v>344</v>
      </c>
      <c r="G28" s="2"/>
      <c r="H28" s="2"/>
      <c r="I28" s="2"/>
      <c r="J28" s="2"/>
      <c r="K28" s="2"/>
    </row>
    <row r="29" spans="2:14" ht="15" thickBot="1" x14ac:dyDescent="0.25">
      <c r="C29" s="67"/>
      <c r="D29" s="52" t="s">
        <v>247</v>
      </c>
      <c r="E29" s="52" t="s">
        <v>323</v>
      </c>
      <c r="F29" s="52"/>
      <c r="G29" s="2"/>
      <c r="H29" s="2"/>
      <c r="I29" s="2"/>
      <c r="J29" s="2"/>
      <c r="K29" s="2"/>
    </row>
    <row r="30" spans="2:14" ht="15" thickBot="1" x14ac:dyDescent="0.25">
      <c r="C30" s="54" t="s">
        <v>252</v>
      </c>
      <c r="D30" s="2"/>
      <c r="E30" s="2"/>
      <c r="F30" s="2"/>
      <c r="G30" s="2"/>
      <c r="H30" s="2"/>
      <c r="I30" s="2"/>
      <c r="J30" s="2"/>
      <c r="K30" s="2"/>
    </row>
    <row r="31" spans="2:14" ht="15" thickBot="1" x14ac:dyDescent="0.25">
      <c r="C31" s="54" t="s">
        <v>253</v>
      </c>
      <c r="D31" s="2"/>
      <c r="E31" s="2"/>
      <c r="F31" s="2"/>
      <c r="G31" s="2"/>
      <c r="H31" s="2"/>
      <c r="I31" s="2"/>
      <c r="J31" s="2"/>
      <c r="K31" s="2"/>
    </row>
    <row r="32" spans="2:14" ht="15" thickBot="1" x14ac:dyDescent="0.25">
      <c r="D32" s="2"/>
      <c r="E32" s="2"/>
      <c r="F32" s="2"/>
      <c r="G32" s="2"/>
      <c r="H32" s="2"/>
      <c r="I32" s="2"/>
      <c r="J32" s="2"/>
      <c r="K32" s="2"/>
    </row>
    <row r="33" spans="3:11" x14ac:dyDescent="0.2">
      <c r="C33" s="39" t="s">
        <v>217</v>
      </c>
      <c r="D33" s="41" t="s">
        <v>241</v>
      </c>
      <c r="E33" s="2"/>
      <c r="F33" s="2"/>
      <c r="G33" s="2"/>
      <c r="H33" s="2"/>
      <c r="I33" s="2"/>
      <c r="J33" s="2"/>
      <c r="K33" s="2"/>
    </row>
    <row r="34" spans="3:11" x14ac:dyDescent="0.2">
      <c r="C34" s="42" t="s">
        <v>218</v>
      </c>
      <c r="D34" s="43" t="s">
        <v>242</v>
      </c>
      <c r="E34" s="2"/>
      <c r="F34" s="2"/>
      <c r="G34" s="2"/>
      <c r="H34" s="2"/>
      <c r="I34" s="2"/>
      <c r="J34" s="2"/>
      <c r="K34" s="2"/>
    </row>
    <row r="35" spans="3:11" ht="15" thickBot="1" x14ac:dyDescent="0.25">
      <c r="C35" s="44" t="s">
        <v>219</v>
      </c>
      <c r="D35" s="46" t="s">
        <v>220</v>
      </c>
      <c r="E35" s="2"/>
      <c r="F35" s="2"/>
      <c r="G35" s="2"/>
      <c r="H35" s="2"/>
      <c r="I35" s="2"/>
      <c r="J35" s="2"/>
      <c r="K35" s="2"/>
    </row>
    <row r="36" spans="3:11" x14ac:dyDescent="0.2">
      <c r="D36" s="2"/>
      <c r="E36" s="2"/>
      <c r="F36" s="2"/>
      <c r="G36" s="2"/>
      <c r="H36" s="2"/>
      <c r="I36" s="2"/>
      <c r="J36" s="2"/>
      <c r="K36" s="2"/>
    </row>
    <row r="37" spans="3:11" x14ac:dyDescent="0.2">
      <c r="D37" s="2"/>
      <c r="E37" s="2"/>
      <c r="F37" s="2"/>
      <c r="G37" s="2"/>
      <c r="H37" s="2"/>
      <c r="I37" s="2"/>
      <c r="J37" s="2"/>
      <c r="K37" s="2"/>
    </row>
    <row r="38" spans="3:11" x14ac:dyDescent="0.2">
      <c r="D38" s="2"/>
      <c r="E38" s="2"/>
      <c r="F38" s="2"/>
      <c r="G38" s="2"/>
      <c r="H38" s="2"/>
      <c r="I38" s="2"/>
      <c r="J38" s="2"/>
      <c r="K38" s="2"/>
    </row>
    <row r="39" spans="3:11" x14ac:dyDescent="0.2">
      <c r="D39" s="2"/>
      <c r="E39" s="2"/>
      <c r="F39" s="2"/>
      <c r="G39" s="2"/>
      <c r="H39" s="2"/>
      <c r="I39" s="2"/>
      <c r="J39" s="2"/>
      <c r="K39" s="2"/>
    </row>
    <row r="40" spans="3:11" x14ac:dyDescent="0.2">
      <c r="D40" s="2"/>
      <c r="E40" s="2"/>
      <c r="F40" s="2"/>
      <c r="G40" s="2"/>
      <c r="H40" s="2"/>
      <c r="I40" s="2"/>
      <c r="J40" s="2"/>
      <c r="K40" s="2"/>
    </row>
    <row r="41" spans="3:11" x14ac:dyDescent="0.2">
      <c r="D41" s="2"/>
      <c r="E41" s="2"/>
      <c r="F41" s="2"/>
      <c r="G41" s="2"/>
      <c r="H41" s="2"/>
      <c r="I41" s="2"/>
      <c r="J41" s="2"/>
      <c r="K41" s="2"/>
    </row>
    <row r="42" spans="3:11" x14ac:dyDescent="0.2">
      <c r="D42" s="2"/>
      <c r="E42" s="2"/>
      <c r="F42" s="2"/>
      <c r="G42" s="2"/>
      <c r="H42" s="2"/>
      <c r="I42" s="2"/>
      <c r="J42" s="2"/>
      <c r="K42" s="2"/>
    </row>
    <row r="43" spans="3:11" x14ac:dyDescent="0.2">
      <c r="D43" s="2"/>
      <c r="E43" s="2"/>
      <c r="F43" s="2"/>
      <c r="G43" s="2"/>
      <c r="H43" s="2"/>
      <c r="I43" s="2"/>
      <c r="J43" s="2"/>
      <c r="K43" s="2"/>
    </row>
    <row r="44" spans="3:11" x14ac:dyDescent="0.2">
      <c r="D44" s="2"/>
      <c r="E44" s="2"/>
      <c r="F44" s="2"/>
      <c r="G44" s="2"/>
      <c r="H44" s="2"/>
      <c r="I44" s="2"/>
      <c r="J44" s="2"/>
      <c r="K44" s="2"/>
    </row>
    <row r="45" spans="3:11" x14ac:dyDescent="0.2">
      <c r="D45" s="2"/>
      <c r="E45" s="2"/>
      <c r="F45" s="2"/>
      <c r="G45" s="2"/>
      <c r="H45" s="2"/>
      <c r="I45" s="2"/>
      <c r="J45" s="2"/>
      <c r="K45" s="2"/>
    </row>
    <row r="46" spans="3:11" x14ac:dyDescent="0.2">
      <c r="D46" s="2"/>
      <c r="E46" s="2"/>
      <c r="F46" s="2"/>
      <c r="G46" s="2"/>
      <c r="H46" s="2"/>
      <c r="I46" s="2"/>
      <c r="J46" s="2"/>
      <c r="K46" s="2"/>
    </row>
    <row r="47" spans="3:11" x14ac:dyDescent="0.2">
      <c r="D47" s="2"/>
      <c r="E47" s="2"/>
      <c r="F47" s="2"/>
      <c r="G47" s="2"/>
      <c r="H47" s="2"/>
      <c r="I47" s="2"/>
      <c r="J47" s="2"/>
      <c r="K47" s="2"/>
    </row>
    <row r="48" spans="3:11" x14ac:dyDescent="0.2">
      <c r="D48" s="2"/>
      <c r="E48" s="2"/>
      <c r="F48" s="2"/>
      <c r="G48" s="2"/>
      <c r="H48" s="2"/>
      <c r="I48" s="2"/>
      <c r="J48" s="2"/>
      <c r="K48" s="2"/>
    </row>
    <row r="49" spans="4:11" x14ac:dyDescent="0.2">
      <c r="D49" s="2"/>
      <c r="E49" s="2"/>
      <c r="F49" s="2"/>
      <c r="G49" s="2"/>
      <c r="H49" s="2"/>
      <c r="I49" s="2"/>
      <c r="J49" s="2"/>
      <c r="K49" s="2"/>
    </row>
    <row r="50" spans="4:11" x14ac:dyDescent="0.2">
      <c r="D50" s="2"/>
      <c r="E50" s="2"/>
      <c r="F50" s="2"/>
      <c r="G50" s="2"/>
      <c r="H50" s="2"/>
      <c r="I50" s="2"/>
      <c r="J50" s="2"/>
      <c r="K50" s="2"/>
    </row>
    <row r="51" spans="4:11" x14ac:dyDescent="0.2">
      <c r="D51" s="2"/>
      <c r="E51" s="2"/>
      <c r="F51" s="2"/>
      <c r="G51" s="2"/>
      <c r="H51" s="2"/>
      <c r="I51" s="2"/>
      <c r="J51" s="2"/>
      <c r="K51" s="2"/>
    </row>
    <row r="52" spans="4:11" x14ac:dyDescent="0.2">
      <c r="D52" s="2"/>
      <c r="E52" s="2"/>
      <c r="F52" s="2"/>
      <c r="G52" s="2"/>
      <c r="H52" s="2"/>
      <c r="I52" s="2"/>
      <c r="J52" s="2"/>
      <c r="K52" s="2"/>
    </row>
    <row r="53" spans="4:11" x14ac:dyDescent="0.2">
      <c r="D53" s="2"/>
      <c r="E53" s="2"/>
      <c r="F53" s="2"/>
      <c r="G53" s="2"/>
      <c r="H53" s="2"/>
      <c r="I53" s="2"/>
      <c r="J53" s="2"/>
      <c r="K53" s="2"/>
    </row>
    <row r="54" spans="4:11" x14ac:dyDescent="0.2">
      <c r="D54" s="2"/>
      <c r="E54" s="2"/>
      <c r="F54" s="2"/>
      <c r="G54" s="2"/>
      <c r="H54" s="2"/>
      <c r="I54" s="2"/>
      <c r="J54" s="2"/>
      <c r="K54" s="2"/>
    </row>
    <row r="55" spans="4:11" x14ac:dyDescent="0.2">
      <c r="D55" s="2"/>
      <c r="E55" s="2"/>
      <c r="F55" s="2"/>
      <c r="G55" s="2"/>
      <c r="H55" s="2"/>
      <c r="I55" s="2"/>
      <c r="J55" s="2"/>
      <c r="K55" s="2"/>
    </row>
    <row r="56" spans="4:11" x14ac:dyDescent="0.2">
      <c r="D56" s="2"/>
      <c r="E56" s="2"/>
      <c r="F56" s="2"/>
      <c r="G56" s="2"/>
      <c r="H56" s="2"/>
      <c r="I56" s="2"/>
      <c r="J56" s="2"/>
      <c r="K56" s="2"/>
    </row>
    <row r="57" spans="4:11" x14ac:dyDescent="0.2">
      <c r="D57" s="2"/>
      <c r="E57" s="2"/>
      <c r="F57" s="2"/>
      <c r="G57" s="2"/>
      <c r="H57" s="2"/>
      <c r="I57" s="2"/>
      <c r="J57" s="2"/>
      <c r="K57" s="2"/>
    </row>
    <row r="58" spans="4:11" x14ac:dyDescent="0.2">
      <c r="D58" s="2"/>
      <c r="E58" s="2"/>
      <c r="F58" s="2"/>
      <c r="G58" s="2"/>
      <c r="H58" s="2"/>
      <c r="I58" s="2"/>
      <c r="J58" s="2"/>
      <c r="K58" s="2"/>
    </row>
    <row r="59" spans="4:11" x14ac:dyDescent="0.2">
      <c r="D59" s="2"/>
      <c r="E59" s="2"/>
      <c r="F59" s="2"/>
      <c r="G59" s="2"/>
      <c r="H59" s="2"/>
      <c r="I59" s="2"/>
      <c r="J59" s="2"/>
      <c r="K59" s="2"/>
    </row>
    <row r="60" spans="4:11" x14ac:dyDescent="0.2">
      <c r="D60" s="2"/>
      <c r="E60" s="2"/>
      <c r="F60" s="2"/>
      <c r="G60" s="2"/>
      <c r="H60" s="2"/>
      <c r="I60" s="2"/>
      <c r="J60" s="2"/>
      <c r="K60" s="2"/>
    </row>
    <row r="61" spans="4:11" x14ac:dyDescent="0.2">
      <c r="D61" s="2"/>
      <c r="E61" s="2"/>
      <c r="F61" s="2"/>
      <c r="G61" s="2"/>
      <c r="H61" s="2"/>
      <c r="I61" s="2"/>
      <c r="J61" s="2"/>
      <c r="K61" s="2"/>
    </row>
    <row r="62" spans="4:11" x14ac:dyDescent="0.2">
      <c r="D62" s="2"/>
      <c r="E62" s="2"/>
      <c r="F62" s="2"/>
      <c r="G62" s="2"/>
      <c r="H62" s="2"/>
      <c r="I62" s="2"/>
      <c r="J62" s="2"/>
      <c r="K62" s="2"/>
    </row>
    <row r="63" spans="4:11" x14ac:dyDescent="0.2">
      <c r="D63" s="2"/>
      <c r="E63" s="2"/>
      <c r="F63" s="2"/>
      <c r="G63" s="2"/>
      <c r="H63" s="2"/>
      <c r="I63" s="2"/>
      <c r="J63" s="2"/>
      <c r="K63" s="2"/>
    </row>
    <row r="64" spans="4:11" x14ac:dyDescent="0.2">
      <c r="D64" s="2"/>
      <c r="E64" s="2"/>
      <c r="F64" s="2"/>
      <c r="G64" s="2"/>
      <c r="H64" s="2"/>
      <c r="I64" s="2"/>
      <c r="J64" s="2"/>
      <c r="K64" s="2"/>
    </row>
    <row r="65" spans="4:11" x14ac:dyDescent="0.2">
      <c r="D65" s="2"/>
      <c r="E65" s="2"/>
      <c r="F65" s="2"/>
      <c r="G65" s="2"/>
      <c r="H65" s="2"/>
      <c r="I65" s="2"/>
      <c r="J65" s="2"/>
      <c r="K65" s="2"/>
    </row>
    <row r="66" spans="4:11" x14ac:dyDescent="0.2">
      <c r="D66" s="2"/>
      <c r="E66" s="2"/>
      <c r="F66" s="2"/>
      <c r="G66" s="2"/>
      <c r="H66" s="2"/>
      <c r="I66" s="2"/>
      <c r="J66" s="2"/>
      <c r="K66" s="2"/>
    </row>
    <row r="67" spans="4:11" x14ac:dyDescent="0.2">
      <c r="D67" s="2"/>
      <c r="E67" s="2"/>
      <c r="F67" s="2"/>
      <c r="G67" s="2"/>
      <c r="H67" s="2"/>
      <c r="I67" s="2"/>
      <c r="J67" s="2"/>
      <c r="K67" s="2"/>
    </row>
    <row r="68" spans="4:11" x14ac:dyDescent="0.2">
      <c r="D68" s="2"/>
      <c r="E68" s="2"/>
      <c r="F68" s="2"/>
      <c r="G68" s="2"/>
      <c r="H68" s="2"/>
      <c r="I68" s="2"/>
      <c r="J68" s="2"/>
      <c r="K68" s="2"/>
    </row>
    <row r="69" spans="4:11" x14ac:dyDescent="0.2">
      <c r="D69" s="2"/>
      <c r="E69" s="2"/>
      <c r="F69" s="2"/>
      <c r="G69" s="2"/>
      <c r="H69" s="2"/>
      <c r="I69" s="2"/>
      <c r="J69" s="2"/>
      <c r="K69" s="2"/>
    </row>
    <row r="70" spans="4:11" x14ac:dyDescent="0.2">
      <c r="D70" s="2"/>
      <c r="E70" s="2"/>
      <c r="F70" s="2"/>
      <c r="G70" s="2"/>
      <c r="H70" s="2"/>
      <c r="I70" s="2"/>
      <c r="J70" s="2"/>
      <c r="K70" s="2"/>
    </row>
    <row r="71" spans="4:11" x14ac:dyDescent="0.2">
      <c r="D71" s="2"/>
      <c r="E71" s="2"/>
      <c r="F71" s="2"/>
      <c r="G71" s="2"/>
      <c r="H71" s="2"/>
      <c r="I71" s="2"/>
      <c r="J71" s="2"/>
      <c r="K71" s="2"/>
    </row>
    <row r="72" spans="4:11" x14ac:dyDescent="0.2">
      <c r="D72" s="2"/>
      <c r="E72" s="2"/>
      <c r="F72" s="2"/>
      <c r="G72" s="2"/>
      <c r="H72" s="2"/>
      <c r="I72" s="2"/>
      <c r="J72" s="2"/>
      <c r="K72" s="2"/>
    </row>
    <row r="73" spans="4:11" x14ac:dyDescent="0.2">
      <c r="D73" s="2"/>
      <c r="E73" s="2"/>
      <c r="F73" s="2"/>
      <c r="G73" s="2"/>
      <c r="H73" s="2"/>
      <c r="I73" s="2"/>
      <c r="J73" s="2"/>
      <c r="K73" s="2"/>
    </row>
    <row r="74" spans="4:11" x14ac:dyDescent="0.2">
      <c r="D74" s="2"/>
      <c r="E74" s="2"/>
      <c r="F74" s="2"/>
      <c r="G74" s="2"/>
      <c r="H74" s="2"/>
      <c r="I74" s="2"/>
      <c r="J74" s="2"/>
      <c r="K74" s="2"/>
    </row>
    <row r="75" spans="4:11" x14ac:dyDescent="0.2">
      <c r="D75" s="2"/>
      <c r="E75" s="2"/>
      <c r="F75" s="2"/>
      <c r="G75" s="2"/>
      <c r="H75" s="2"/>
      <c r="I75" s="2"/>
      <c r="J75" s="2"/>
      <c r="K75" s="2"/>
    </row>
    <row r="76" spans="4:11" x14ac:dyDescent="0.2">
      <c r="D76" s="2"/>
      <c r="E76" s="2"/>
      <c r="F76" s="2"/>
      <c r="G76" s="2"/>
      <c r="H76" s="2"/>
      <c r="I76" s="2"/>
      <c r="J76" s="2"/>
      <c r="K76" s="2"/>
    </row>
    <row r="77" spans="4:11" x14ac:dyDescent="0.2">
      <c r="D77" s="2"/>
      <c r="E77" s="2"/>
      <c r="F77" s="2"/>
      <c r="G77" s="2"/>
      <c r="H77" s="2"/>
      <c r="I77" s="2"/>
      <c r="J77" s="2"/>
      <c r="K77" s="2"/>
    </row>
    <row r="78" spans="4:11" x14ac:dyDescent="0.2">
      <c r="D78" s="2"/>
      <c r="E78" s="2"/>
      <c r="F78" s="2"/>
      <c r="G78" s="2"/>
      <c r="H78" s="2"/>
      <c r="I78" s="2"/>
      <c r="J78" s="2"/>
      <c r="K78" s="2"/>
    </row>
    <row r="79" spans="4:11" x14ac:dyDescent="0.2">
      <c r="D79" s="2"/>
      <c r="E79" s="2"/>
      <c r="F79" s="2"/>
      <c r="G79" s="2"/>
      <c r="H79" s="2"/>
      <c r="I79" s="2"/>
      <c r="J79" s="2"/>
      <c r="K79" s="2"/>
    </row>
    <row r="80" spans="4:11" x14ac:dyDescent="0.2">
      <c r="D80" s="2"/>
      <c r="E80" s="2"/>
      <c r="F80" s="2"/>
      <c r="G80" s="2"/>
      <c r="H80" s="2"/>
      <c r="I80" s="2"/>
      <c r="J80" s="2"/>
      <c r="K80" s="2"/>
    </row>
    <row r="81" spans="4:11" x14ac:dyDescent="0.2">
      <c r="D81" s="2"/>
      <c r="E81" s="2"/>
      <c r="F81" s="2"/>
      <c r="G81" s="2"/>
      <c r="H81" s="2"/>
      <c r="I81" s="2"/>
      <c r="J81" s="2"/>
      <c r="K81" s="2"/>
    </row>
    <row r="82" spans="4:11" x14ac:dyDescent="0.2">
      <c r="D82" s="2"/>
      <c r="E82" s="2"/>
      <c r="F82" s="2"/>
      <c r="G82" s="2"/>
      <c r="H82" s="2"/>
      <c r="I82" s="2"/>
      <c r="J82" s="2"/>
      <c r="K82" s="2"/>
    </row>
    <row r="83" spans="4:11" x14ac:dyDescent="0.2">
      <c r="D83" s="2"/>
      <c r="E83" s="2"/>
      <c r="F83" s="2"/>
      <c r="G83" s="2"/>
      <c r="H83" s="2"/>
      <c r="I83" s="2"/>
      <c r="J83" s="2"/>
      <c r="K83" s="2"/>
    </row>
    <row r="84" spans="4:11" x14ac:dyDescent="0.2">
      <c r="D84" s="2"/>
      <c r="E84" s="2"/>
      <c r="F84" s="2"/>
      <c r="G84" s="2"/>
      <c r="H84" s="2"/>
      <c r="I84" s="2"/>
      <c r="J84" s="2"/>
      <c r="K84" s="2"/>
    </row>
    <row r="85" spans="4:11" x14ac:dyDescent="0.2">
      <c r="D85" s="2"/>
      <c r="E85" s="2"/>
      <c r="F85" s="2"/>
      <c r="G85" s="2"/>
      <c r="H85" s="2"/>
      <c r="I85" s="2"/>
      <c r="J85" s="2"/>
      <c r="K85" s="2"/>
    </row>
    <row r="86" spans="4:11" x14ac:dyDescent="0.2">
      <c r="D86" s="2"/>
      <c r="E86" s="2"/>
      <c r="F86" s="2"/>
      <c r="G86" s="2"/>
      <c r="H86" s="2"/>
      <c r="I86" s="2"/>
      <c r="J86" s="2"/>
      <c r="K86" s="2"/>
    </row>
    <row r="87" spans="4:11" x14ac:dyDescent="0.2">
      <c r="D87" s="2"/>
      <c r="E87" s="2"/>
      <c r="F87" s="2"/>
      <c r="G87" s="2"/>
      <c r="H87" s="2"/>
      <c r="I87" s="2"/>
      <c r="J87" s="2"/>
      <c r="K87" s="2"/>
    </row>
    <row r="88" spans="4:11" x14ac:dyDescent="0.2">
      <c r="D88" s="2"/>
      <c r="E88" s="2"/>
      <c r="F88" s="2"/>
      <c r="G88" s="2"/>
      <c r="H88" s="2"/>
      <c r="I88" s="2"/>
      <c r="J88" s="2"/>
      <c r="K88" s="2"/>
    </row>
    <row r="89" spans="4:11" x14ac:dyDescent="0.2">
      <c r="D89" s="2"/>
      <c r="E89" s="2"/>
      <c r="F89" s="2"/>
      <c r="G89" s="2"/>
      <c r="H89" s="2"/>
      <c r="I89" s="2"/>
      <c r="J89" s="2"/>
      <c r="K89" s="2"/>
    </row>
    <row r="90" spans="4:11" x14ac:dyDescent="0.2">
      <c r="D90" s="2"/>
      <c r="E90" s="2"/>
      <c r="F90" s="2"/>
      <c r="G90" s="2"/>
      <c r="H90" s="2"/>
      <c r="I90" s="2"/>
      <c r="J90" s="2"/>
      <c r="K90" s="2"/>
    </row>
    <row r="91" spans="4:11" x14ac:dyDescent="0.2">
      <c r="D91" s="2"/>
      <c r="E91" s="2"/>
      <c r="F91" s="2"/>
      <c r="G91" s="2"/>
      <c r="H91" s="2"/>
      <c r="I91" s="2"/>
      <c r="J91" s="2"/>
      <c r="K91" s="2"/>
    </row>
    <row r="92" spans="4:11" x14ac:dyDescent="0.2">
      <c r="D92" s="2"/>
      <c r="E92" s="2"/>
      <c r="F92" s="2"/>
      <c r="G92" s="2"/>
      <c r="H92" s="2"/>
      <c r="I92" s="2"/>
      <c r="J92" s="2"/>
      <c r="K92" s="2"/>
    </row>
    <row r="93" spans="4:11" x14ac:dyDescent="0.2">
      <c r="D93" s="2"/>
      <c r="E93" s="2"/>
      <c r="F93" s="2"/>
      <c r="G93" s="2"/>
      <c r="H93" s="2"/>
      <c r="I93" s="2"/>
      <c r="J93" s="2"/>
      <c r="K93" s="2"/>
    </row>
    <row r="94" spans="4:11" x14ac:dyDescent="0.2">
      <c r="D94" s="2"/>
      <c r="E94" s="2"/>
      <c r="F94" s="2"/>
      <c r="G94" s="2"/>
      <c r="H94" s="2"/>
      <c r="I94" s="2"/>
      <c r="J94" s="2"/>
      <c r="K94" s="2"/>
    </row>
    <row r="95" spans="4:11" x14ac:dyDescent="0.2">
      <c r="D95" s="2"/>
      <c r="E95" s="2"/>
      <c r="F95" s="2"/>
      <c r="G95" s="2"/>
      <c r="H95" s="2"/>
      <c r="I95" s="2"/>
      <c r="J95" s="2"/>
      <c r="K95" s="2"/>
    </row>
    <row r="96" spans="4:11" x14ac:dyDescent="0.2">
      <c r="D96" s="2"/>
      <c r="E96" s="2"/>
      <c r="F96" s="2"/>
      <c r="G96" s="2"/>
      <c r="H96" s="2"/>
      <c r="I96" s="2"/>
      <c r="J96" s="2"/>
      <c r="K96" s="2"/>
    </row>
    <row r="97" spans="4:11" x14ac:dyDescent="0.2">
      <c r="D97" s="2"/>
      <c r="E97" s="2"/>
      <c r="F97" s="2"/>
      <c r="G97" s="2"/>
      <c r="H97" s="2"/>
      <c r="I97" s="2"/>
      <c r="J97" s="2"/>
      <c r="K97" s="2"/>
    </row>
    <row r="98" spans="4:11" x14ac:dyDescent="0.2">
      <c r="D98" s="2"/>
      <c r="E98" s="2"/>
      <c r="F98" s="2"/>
      <c r="G98" s="2"/>
      <c r="H98" s="2"/>
      <c r="I98" s="2"/>
      <c r="J98" s="2"/>
      <c r="K98" s="2"/>
    </row>
    <row r="99" spans="4:11" x14ac:dyDescent="0.2">
      <c r="D99" s="2"/>
      <c r="E99" s="2"/>
      <c r="F99" s="2"/>
      <c r="G99" s="2"/>
      <c r="H99" s="2"/>
      <c r="I99" s="2"/>
      <c r="J99" s="2"/>
      <c r="K99" s="2"/>
    </row>
    <row r="100" spans="4:11" x14ac:dyDescent="0.2">
      <c r="D100" s="2"/>
      <c r="E100" s="2"/>
      <c r="F100" s="2"/>
      <c r="G100" s="2"/>
      <c r="H100" s="2"/>
      <c r="I100" s="2"/>
      <c r="J100" s="2"/>
      <c r="K100" s="2"/>
    </row>
    <row r="101" spans="4:11" x14ac:dyDescent="0.2">
      <c r="D101" s="2"/>
      <c r="E101" s="2"/>
      <c r="F101" s="2"/>
      <c r="G101" s="2"/>
      <c r="H101" s="2"/>
      <c r="I101" s="2"/>
      <c r="J101" s="2"/>
      <c r="K101" s="2"/>
    </row>
    <row r="102" spans="4:11" x14ac:dyDescent="0.2">
      <c r="D102" s="2"/>
      <c r="E102" s="2"/>
      <c r="F102" s="2"/>
      <c r="G102" s="2"/>
      <c r="H102" s="2"/>
      <c r="I102" s="2"/>
      <c r="J102" s="2"/>
      <c r="K102" s="2"/>
    </row>
    <row r="103" spans="4:11" x14ac:dyDescent="0.2">
      <c r="D103" s="2"/>
      <c r="E103" s="2"/>
      <c r="F103" s="2"/>
      <c r="G103" s="2"/>
      <c r="H103" s="2"/>
      <c r="I103" s="2"/>
      <c r="J103" s="2"/>
      <c r="K103" s="2"/>
    </row>
    <row r="104" spans="4:11" x14ac:dyDescent="0.2">
      <c r="D104" s="2"/>
      <c r="E104" s="2"/>
      <c r="F104" s="2"/>
      <c r="G104" s="2"/>
      <c r="H104" s="2"/>
      <c r="I104" s="2"/>
      <c r="J104" s="2"/>
      <c r="K104" s="2"/>
    </row>
    <row r="105" spans="4:11" x14ac:dyDescent="0.2">
      <c r="D105" s="2"/>
      <c r="E105" s="2"/>
      <c r="F105" s="2"/>
      <c r="G105" s="2"/>
      <c r="H105" s="2"/>
      <c r="I105" s="2"/>
      <c r="J105" s="2"/>
      <c r="K105" s="2"/>
    </row>
    <row r="106" spans="4:11" x14ac:dyDescent="0.2">
      <c r="D106" s="2"/>
      <c r="E106" s="2"/>
      <c r="F106" s="2"/>
      <c r="G106" s="2"/>
      <c r="H106" s="2"/>
      <c r="I106" s="2"/>
      <c r="J106" s="2"/>
      <c r="K106" s="2"/>
    </row>
    <row r="107" spans="4:11" x14ac:dyDescent="0.2">
      <c r="D107" s="2"/>
      <c r="E107" s="2"/>
      <c r="F107" s="2"/>
      <c r="G107" s="2"/>
      <c r="H107" s="2"/>
      <c r="I107" s="2"/>
      <c r="J107" s="2"/>
      <c r="K107" s="2"/>
    </row>
    <row r="108" spans="4:11" x14ac:dyDescent="0.2">
      <c r="D108" s="2"/>
      <c r="E108" s="2"/>
      <c r="F108" s="2"/>
      <c r="G108" s="2"/>
      <c r="H108" s="2"/>
      <c r="I108" s="2"/>
      <c r="J108" s="2"/>
      <c r="K108" s="2"/>
    </row>
    <row r="109" spans="4:11" x14ac:dyDescent="0.2">
      <c r="D109" s="2"/>
      <c r="E109" s="2"/>
      <c r="F109" s="2"/>
      <c r="G109" s="2"/>
      <c r="H109" s="2"/>
      <c r="I109" s="2"/>
      <c r="J109" s="2"/>
      <c r="K109" s="2"/>
    </row>
    <row r="110" spans="4:11" x14ac:dyDescent="0.2">
      <c r="D110" s="2"/>
      <c r="E110" s="2"/>
      <c r="F110" s="2"/>
      <c r="G110" s="2"/>
      <c r="H110" s="2"/>
      <c r="I110" s="2"/>
      <c r="J110" s="2"/>
      <c r="K110" s="2"/>
    </row>
    <row r="111" spans="4:11" x14ac:dyDescent="0.2">
      <c r="D111" s="2"/>
      <c r="E111" s="2"/>
      <c r="F111" s="2"/>
      <c r="G111" s="2"/>
      <c r="H111" s="2"/>
      <c r="I111" s="2"/>
      <c r="J111" s="2"/>
      <c r="K111" s="2"/>
    </row>
    <row r="112" spans="4:11" x14ac:dyDescent="0.2">
      <c r="D112" s="2"/>
      <c r="E112" s="2"/>
      <c r="F112" s="2"/>
      <c r="G112" s="2"/>
      <c r="H112" s="2"/>
      <c r="I112" s="2"/>
      <c r="J112" s="2"/>
      <c r="K112" s="2"/>
    </row>
    <row r="113" spans="4:11" x14ac:dyDescent="0.2">
      <c r="D113" s="2"/>
      <c r="E113" s="2"/>
      <c r="F113" s="2"/>
      <c r="G113" s="2"/>
      <c r="H113" s="2"/>
      <c r="I113" s="2"/>
      <c r="J113" s="2"/>
      <c r="K113" s="2"/>
    </row>
  </sheetData>
  <mergeCells count="1">
    <mergeCell ref="C25:C29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07CED-ABFC-4408-9E6F-EFE7B1F2FBD8}">
  <sheetPr codeName="Sheet2">
    <tabColor rgb="FFFF0000"/>
  </sheetPr>
  <dimension ref="A1:U223"/>
  <sheetViews>
    <sheetView zoomScale="85" zoomScaleNormal="85" workbookViewId="0">
      <pane ySplit="3" topLeftCell="A4" activePane="bottomLeft" state="frozen"/>
      <selection pane="bottomLeft" activeCell="G12" sqref="G12"/>
    </sheetView>
  </sheetViews>
  <sheetFormatPr defaultColWidth="9" defaultRowHeight="14.25" x14ac:dyDescent="0.2"/>
  <cols>
    <col min="1" max="2" width="9" style="2" bestFit="1" customWidth="1"/>
    <col min="3" max="3" width="62.25" style="37" bestFit="1" customWidth="1"/>
    <col min="4" max="5" width="7.125" style="2" bestFit="1" customWidth="1"/>
    <col min="6" max="7" width="15.125" style="14" bestFit="1" customWidth="1"/>
    <col min="8" max="8" width="5.25" style="2" bestFit="1" customWidth="1"/>
    <col min="9" max="9" width="19.25" style="2" bestFit="1" customWidth="1"/>
    <col min="10" max="10" width="21.375" style="2" bestFit="1" customWidth="1"/>
    <col min="11" max="12" width="7.125" style="2" bestFit="1" customWidth="1"/>
    <col min="13" max="13" width="23.5" style="2" bestFit="1" customWidth="1"/>
    <col min="14" max="14" width="23.5" style="9" bestFit="1" customWidth="1"/>
    <col min="15" max="15" width="21.375" style="2" bestFit="1" customWidth="1"/>
    <col min="16" max="16" width="17.25" style="2" bestFit="1" customWidth="1"/>
    <col min="17" max="17" width="24.75" style="2" bestFit="1" customWidth="1"/>
    <col min="18" max="18" width="7.125" style="2" bestFit="1" customWidth="1"/>
    <col min="19" max="19" width="11" style="2" bestFit="1" customWidth="1"/>
    <col min="20" max="21" width="13" style="2" bestFit="1" customWidth="1"/>
    <col min="22" max="22" width="15.125" style="2" bestFit="1" customWidth="1"/>
    <col min="23" max="16384" width="9" style="2"/>
  </cols>
  <sheetData>
    <row r="1" spans="1:21" x14ac:dyDescent="0.2">
      <c r="K1" s="15"/>
      <c r="L1" s="15"/>
    </row>
    <row r="2" spans="1:21" x14ac:dyDescent="0.2">
      <c r="D2" s="2">
        <v>4</v>
      </c>
      <c r="E2" s="2">
        <v>5</v>
      </c>
      <c r="K2" s="15"/>
      <c r="L2" s="15"/>
      <c r="M2" s="2">
        <v>13</v>
      </c>
      <c r="N2" s="9">
        <v>14</v>
      </c>
    </row>
    <row r="3" spans="1:21" x14ac:dyDescent="0.2">
      <c r="A3" s="5" t="s">
        <v>239</v>
      </c>
      <c r="B3" s="5" t="s">
        <v>231</v>
      </c>
      <c r="C3" s="55" t="s">
        <v>232</v>
      </c>
      <c r="D3" s="3" t="s">
        <v>11</v>
      </c>
      <c r="E3" s="3" t="s">
        <v>12</v>
      </c>
      <c r="F3" s="12" t="s">
        <v>2</v>
      </c>
      <c r="G3" s="12" t="s">
        <v>3</v>
      </c>
      <c r="H3" s="4" t="s">
        <v>7</v>
      </c>
      <c r="I3" s="4" t="s">
        <v>0</v>
      </c>
      <c r="J3" s="4" t="s">
        <v>1</v>
      </c>
      <c r="K3" s="4" t="s">
        <v>221</v>
      </c>
      <c r="L3" s="3" t="s">
        <v>11</v>
      </c>
      <c r="M3" s="3" t="s">
        <v>0</v>
      </c>
      <c r="N3" s="10">
        <v>1</v>
      </c>
      <c r="O3" s="11">
        <v>2</v>
      </c>
      <c r="P3" s="11">
        <v>3</v>
      </c>
      <c r="Q3" s="11">
        <v>4</v>
      </c>
      <c r="R3" s="11">
        <v>5</v>
      </c>
      <c r="S3" s="11">
        <v>6</v>
      </c>
      <c r="T3" s="11">
        <v>7</v>
      </c>
      <c r="U3" s="11">
        <v>8</v>
      </c>
    </row>
    <row r="4" spans="1:21" x14ac:dyDescent="0.2">
      <c r="A4" s="1">
        <v>43557</v>
      </c>
      <c r="B4" s="49" t="s">
        <v>248</v>
      </c>
      <c r="C4" s="37" t="s">
        <v>255</v>
      </c>
      <c r="D4" s="2">
        <v>7</v>
      </c>
      <c r="E4" s="2">
        <v>4</v>
      </c>
      <c r="F4" s="13">
        <v>306300</v>
      </c>
      <c r="G4" s="13"/>
      <c r="H4" s="2" t="s">
        <v>2</v>
      </c>
      <c r="I4" s="2" t="s">
        <v>17</v>
      </c>
      <c r="J4" s="2" t="s">
        <v>71</v>
      </c>
      <c r="K4" s="38">
        <v>1</v>
      </c>
      <c r="L4" s="11">
        <v>1</v>
      </c>
      <c r="M4" s="16" t="s">
        <v>4</v>
      </c>
      <c r="N4" s="9" t="s">
        <v>6</v>
      </c>
      <c r="O4" s="2" t="s">
        <v>5</v>
      </c>
      <c r="P4" s="2" t="s">
        <v>65</v>
      </c>
    </row>
    <row r="5" spans="1:21" x14ac:dyDescent="0.2">
      <c r="A5" s="1">
        <v>43557</v>
      </c>
      <c r="B5" s="49" t="s">
        <v>248</v>
      </c>
      <c r="C5" s="37" t="s">
        <v>255</v>
      </c>
      <c r="D5" s="2">
        <v>34</v>
      </c>
      <c r="E5" s="2">
        <v>2</v>
      </c>
      <c r="F5" s="13"/>
      <c r="G5" s="13">
        <v>306300</v>
      </c>
      <c r="H5" s="2" t="s">
        <v>3</v>
      </c>
      <c r="I5" s="2" t="s">
        <v>44</v>
      </c>
      <c r="J5" s="2" t="s">
        <v>100</v>
      </c>
      <c r="K5" s="2">
        <f>IF(F5 &gt; 0,IF(G4&gt;0,K4+1,K4),K4)</f>
        <v>1</v>
      </c>
      <c r="L5" s="11">
        <v>2</v>
      </c>
      <c r="M5" s="16" t="s">
        <v>8</v>
      </c>
      <c r="N5" s="9" t="s">
        <v>66</v>
      </c>
      <c r="O5" s="2" t="s">
        <v>308</v>
      </c>
    </row>
    <row r="6" spans="1:21" x14ac:dyDescent="0.2">
      <c r="A6" s="1">
        <v>43557</v>
      </c>
      <c r="B6" s="49" t="s">
        <v>248</v>
      </c>
      <c r="C6" s="37" t="s">
        <v>256</v>
      </c>
      <c r="D6" s="2">
        <v>38</v>
      </c>
      <c r="E6" s="2">
        <v>1</v>
      </c>
      <c r="F6" s="13">
        <v>52071</v>
      </c>
      <c r="G6" s="13"/>
      <c r="H6" s="2" t="s">
        <v>2</v>
      </c>
      <c r="I6" s="2" t="s">
        <v>48</v>
      </c>
      <c r="J6" s="2" t="s">
        <v>222</v>
      </c>
      <c r="K6" s="2">
        <f t="shared" ref="K6:K69" si="0">IF(F6 &gt; 0,IF(G5&gt;0,K5+1,K5),K5)</f>
        <v>2</v>
      </c>
      <c r="L6" s="11">
        <v>3</v>
      </c>
      <c r="M6" s="16" t="s">
        <v>9</v>
      </c>
      <c r="N6" s="9" t="s">
        <v>9</v>
      </c>
    </row>
    <row r="7" spans="1:21" x14ac:dyDescent="0.2">
      <c r="A7" s="1">
        <v>43557</v>
      </c>
      <c r="B7" s="49" t="s">
        <v>248</v>
      </c>
      <c r="C7" s="37" t="s">
        <v>256</v>
      </c>
      <c r="D7" s="2">
        <v>34</v>
      </c>
      <c r="E7" s="2">
        <v>2</v>
      </c>
      <c r="F7" s="13"/>
      <c r="G7" s="13">
        <v>52071</v>
      </c>
      <c r="H7" s="2" t="s">
        <v>3</v>
      </c>
      <c r="I7" s="2" t="s">
        <v>44</v>
      </c>
      <c r="J7" s="2" t="s">
        <v>100</v>
      </c>
      <c r="K7" s="2">
        <f t="shared" si="0"/>
        <v>2</v>
      </c>
      <c r="L7" s="11">
        <v>4</v>
      </c>
      <c r="M7" s="16" t="s">
        <v>10</v>
      </c>
      <c r="N7" s="9" t="s">
        <v>13</v>
      </c>
      <c r="O7" s="2" t="s">
        <v>14</v>
      </c>
      <c r="P7" s="8" t="s">
        <v>68</v>
      </c>
    </row>
    <row r="8" spans="1:21" x14ac:dyDescent="0.2">
      <c r="A8" s="1">
        <v>43557</v>
      </c>
      <c r="B8" s="49" t="s">
        <v>248</v>
      </c>
      <c r="C8" s="37" t="s">
        <v>257</v>
      </c>
      <c r="D8" s="2">
        <v>7</v>
      </c>
      <c r="E8" s="2">
        <v>1</v>
      </c>
      <c r="F8" s="13">
        <v>300000</v>
      </c>
      <c r="G8" s="13"/>
      <c r="H8" s="2" t="s">
        <v>2</v>
      </c>
      <c r="I8" s="2" t="s">
        <v>17</v>
      </c>
      <c r="J8" s="2" t="s">
        <v>70</v>
      </c>
      <c r="K8" s="2">
        <f t="shared" si="0"/>
        <v>3</v>
      </c>
      <c r="L8" s="11">
        <v>5</v>
      </c>
      <c r="M8" s="16" t="s">
        <v>15</v>
      </c>
      <c r="N8" s="9" t="s">
        <v>15</v>
      </c>
    </row>
    <row r="9" spans="1:21" x14ac:dyDescent="0.2">
      <c r="A9" s="1">
        <v>43557</v>
      </c>
      <c r="B9" s="49" t="s">
        <v>248</v>
      </c>
      <c r="C9" s="37" t="s">
        <v>257</v>
      </c>
      <c r="D9" s="2">
        <v>30</v>
      </c>
      <c r="E9" s="2">
        <v>1</v>
      </c>
      <c r="F9" s="13">
        <v>6300</v>
      </c>
      <c r="G9" s="13"/>
      <c r="H9" s="2" t="s">
        <v>2</v>
      </c>
      <c r="I9" s="2" t="s">
        <v>40</v>
      </c>
      <c r="J9" s="2" t="s">
        <v>40</v>
      </c>
      <c r="K9" s="2">
        <f t="shared" si="0"/>
        <v>3</v>
      </c>
      <c r="L9" s="11">
        <v>6</v>
      </c>
      <c r="M9" s="16" t="s">
        <v>16</v>
      </c>
      <c r="N9" s="9" t="s">
        <v>16</v>
      </c>
      <c r="O9" s="8" t="s">
        <v>67</v>
      </c>
      <c r="P9" s="8" t="s">
        <v>289</v>
      </c>
    </row>
    <row r="10" spans="1:21" x14ac:dyDescent="0.2">
      <c r="A10" s="1">
        <v>43557</v>
      </c>
      <c r="B10" s="49" t="s">
        <v>248</v>
      </c>
      <c r="C10" s="37" t="s">
        <v>257</v>
      </c>
      <c r="D10" s="2">
        <v>7</v>
      </c>
      <c r="E10" s="2">
        <v>4</v>
      </c>
      <c r="F10" s="13"/>
      <c r="G10" s="13">
        <v>306300</v>
      </c>
      <c r="H10" s="2" t="s">
        <v>3</v>
      </c>
      <c r="I10" s="2" t="s">
        <v>17</v>
      </c>
      <c r="J10" s="2" t="s">
        <v>71</v>
      </c>
      <c r="K10" s="2">
        <f t="shared" si="0"/>
        <v>3</v>
      </c>
      <c r="L10" s="11">
        <v>7</v>
      </c>
      <c r="M10" s="16" t="s">
        <v>17</v>
      </c>
      <c r="N10" s="10" t="s">
        <v>69</v>
      </c>
      <c r="O10" s="11" t="s">
        <v>70</v>
      </c>
      <c r="P10" s="2" t="s">
        <v>71</v>
      </c>
      <c r="Q10" s="2" t="s">
        <v>72</v>
      </c>
      <c r="R10" s="2" t="s">
        <v>74</v>
      </c>
      <c r="S10" s="2" t="s">
        <v>75</v>
      </c>
      <c r="T10" s="2" t="s">
        <v>73</v>
      </c>
      <c r="U10" s="8" t="s">
        <v>76</v>
      </c>
    </row>
    <row r="11" spans="1:21" x14ac:dyDescent="0.2">
      <c r="A11" s="1">
        <v>43557</v>
      </c>
      <c r="B11" s="49" t="s">
        <v>248</v>
      </c>
      <c r="C11" s="37" t="s">
        <v>257</v>
      </c>
      <c r="D11" s="2">
        <v>38</v>
      </c>
      <c r="E11" s="2">
        <v>1</v>
      </c>
      <c r="F11" s="13"/>
      <c r="G11" s="13">
        <v>1071</v>
      </c>
      <c r="H11" s="2" t="s">
        <v>3</v>
      </c>
      <c r="I11" s="2" t="s">
        <v>48</v>
      </c>
      <c r="J11" s="2" t="s">
        <v>222</v>
      </c>
      <c r="K11" s="2">
        <f t="shared" si="0"/>
        <v>3</v>
      </c>
      <c r="L11" s="11">
        <v>8</v>
      </c>
      <c r="M11" s="16" t="s">
        <v>18</v>
      </c>
      <c r="N11" s="9" t="s">
        <v>18</v>
      </c>
    </row>
    <row r="12" spans="1:21" x14ac:dyDescent="0.2">
      <c r="A12" s="1">
        <v>43557</v>
      </c>
      <c r="B12" s="49" t="s">
        <v>248</v>
      </c>
      <c r="C12" s="37" t="s">
        <v>258</v>
      </c>
      <c r="D12" s="2">
        <v>34</v>
      </c>
      <c r="E12" s="2">
        <v>2</v>
      </c>
      <c r="F12" s="13">
        <v>358317</v>
      </c>
      <c r="G12" s="13"/>
      <c r="H12" s="2" t="s">
        <v>2</v>
      </c>
      <c r="I12" s="2" t="s">
        <v>44</v>
      </c>
      <c r="J12" s="2" t="s">
        <v>100</v>
      </c>
      <c r="K12" s="2">
        <f t="shared" si="0"/>
        <v>4</v>
      </c>
      <c r="L12" s="11">
        <v>9</v>
      </c>
      <c r="M12" s="16" t="s">
        <v>19</v>
      </c>
      <c r="N12" s="9" t="s">
        <v>19</v>
      </c>
    </row>
    <row r="13" spans="1:21" x14ac:dyDescent="0.2">
      <c r="A13" s="1">
        <v>43557</v>
      </c>
      <c r="B13" s="49" t="s">
        <v>248</v>
      </c>
      <c r="C13" s="37" t="s">
        <v>258</v>
      </c>
      <c r="D13" s="2">
        <v>1</v>
      </c>
      <c r="E13" s="2">
        <v>2</v>
      </c>
      <c r="F13" s="13"/>
      <c r="G13" s="13">
        <v>358317</v>
      </c>
      <c r="H13" s="2" t="s">
        <v>3</v>
      </c>
      <c r="I13" s="2" t="s">
        <v>4</v>
      </c>
      <c r="J13" s="2" t="s">
        <v>5</v>
      </c>
      <c r="K13" s="2">
        <f t="shared" si="0"/>
        <v>4</v>
      </c>
      <c r="L13" s="11">
        <v>10</v>
      </c>
      <c r="M13" s="16" t="s">
        <v>20</v>
      </c>
      <c r="N13" s="9" t="s">
        <v>20</v>
      </c>
    </row>
    <row r="14" spans="1:21" ht="15" thickBot="1" x14ac:dyDescent="0.25">
      <c r="A14" s="1">
        <v>43557</v>
      </c>
      <c r="B14" s="49" t="s">
        <v>248</v>
      </c>
      <c r="C14" s="37" t="s">
        <v>259</v>
      </c>
      <c r="D14" s="2">
        <v>5</v>
      </c>
      <c r="E14" s="2">
        <v>1</v>
      </c>
      <c r="F14" s="13">
        <v>10000</v>
      </c>
      <c r="G14" s="13"/>
      <c r="H14" s="2" t="s">
        <v>2</v>
      </c>
      <c r="I14" s="2" t="s">
        <v>15</v>
      </c>
      <c r="J14" s="2" t="s">
        <v>15</v>
      </c>
      <c r="K14" s="2">
        <f t="shared" si="0"/>
        <v>5</v>
      </c>
      <c r="L14" s="11">
        <v>11</v>
      </c>
      <c r="M14" s="16" t="s">
        <v>21</v>
      </c>
      <c r="N14" s="9" t="s">
        <v>21</v>
      </c>
    </row>
    <row r="15" spans="1:21" x14ac:dyDescent="0.2">
      <c r="A15" s="1">
        <v>43557</v>
      </c>
      <c r="B15" s="49" t="s">
        <v>248</v>
      </c>
      <c r="C15" s="37" t="s">
        <v>259</v>
      </c>
      <c r="D15" s="2">
        <v>1</v>
      </c>
      <c r="E15" s="2">
        <v>2</v>
      </c>
      <c r="F15" s="13"/>
      <c r="G15" s="13">
        <v>10000</v>
      </c>
      <c r="H15" s="2" t="s">
        <v>3</v>
      </c>
      <c r="I15" s="2" t="s">
        <v>4</v>
      </c>
      <c r="J15" s="2" t="s">
        <v>5</v>
      </c>
      <c r="K15" s="2">
        <f t="shared" si="0"/>
        <v>5</v>
      </c>
      <c r="L15" s="32">
        <v>12</v>
      </c>
      <c r="M15" s="58" t="s">
        <v>22</v>
      </c>
      <c r="N15" s="9" t="s">
        <v>85</v>
      </c>
      <c r="O15" s="2" t="s">
        <v>288</v>
      </c>
      <c r="P15" s="2" t="s">
        <v>308</v>
      </c>
      <c r="Q15" s="57" t="s">
        <v>290</v>
      </c>
    </row>
    <row r="16" spans="1:21" x14ac:dyDescent="0.2">
      <c r="A16" s="1">
        <v>43557</v>
      </c>
      <c r="B16" s="49" t="s">
        <v>248</v>
      </c>
      <c r="C16" s="37" t="s">
        <v>260</v>
      </c>
      <c r="D16" s="2">
        <v>7</v>
      </c>
      <c r="E16" s="2">
        <v>1</v>
      </c>
      <c r="F16" s="13">
        <v>20000</v>
      </c>
      <c r="G16" s="13"/>
      <c r="H16" s="2" t="s">
        <v>2</v>
      </c>
      <c r="I16" s="2" t="s">
        <v>17</v>
      </c>
      <c r="J16" s="2" t="s">
        <v>70</v>
      </c>
      <c r="K16" s="2">
        <f t="shared" si="0"/>
        <v>6</v>
      </c>
      <c r="L16" s="33">
        <v>13</v>
      </c>
      <c r="M16" s="59" t="s">
        <v>23</v>
      </c>
      <c r="N16" s="9" t="s">
        <v>23</v>
      </c>
      <c r="O16" s="2" t="s">
        <v>288</v>
      </c>
      <c r="P16" s="2" t="s">
        <v>308</v>
      </c>
      <c r="Q16" s="57" t="s">
        <v>291</v>
      </c>
    </row>
    <row r="17" spans="1:17" x14ac:dyDescent="0.2">
      <c r="A17" s="1">
        <v>43557</v>
      </c>
      <c r="B17" s="49" t="s">
        <v>248</v>
      </c>
      <c r="C17" s="37" t="s">
        <v>260</v>
      </c>
      <c r="D17" s="2">
        <v>38</v>
      </c>
      <c r="E17" s="2">
        <v>1</v>
      </c>
      <c r="F17" s="13">
        <v>3400</v>
      </c>
      <c r="G17" s="13"/>
      <c r="H17" s="2" t="s">
        <v>2</v>
      </c>
      <c r="I17" s="2" t="s">
        <v>48</v>
      </c>
      <c r="J17" s="2" t="s">
        <v>222</v>
      </c>
      <c r="K17" s="2">
        <f t="shared" si="0"/>
        <v>6</v>
      </c>
      <c r="L17" s="33">
        <v>14</v>
      </c>
      <c r="M17" s="34" t="s">
        <v>24</v>
      </c>
      <c r="N17" s="9" t="s">
        <v>24</v>
      </c>
    </row>
    <row r="18" spans="1:17" x14ac:dyDescent="0.2">
      <c r="A18" s="1">
        <v>43557</v>
      </c>
      <c r="B18" s="49" t="s">
        <v>248</v>
      </c>
      <c r="C18" s="37" t="s">
        <v>260</v>
      </c>
      <c r="D18" s="2">
        <v>5</v>
      </c>
      <c r="E18" s="2">
        <v>1</v>
      </c>
      <c r="F18" s="13"/>
      <c r="G18" s="13">
        <v>23400</v>
      </c>
      <c r="H18" s="2" t="s">
        <v>3</v>
      </c>
      <c r="I18" s="2" t="s">
        <v>15</v>
      </c>
      <c r="J18" s="2" t="s">
        <v>15</v>
      </c>
      <c r="K18" s="2">
        <f t="shared" si="0"/>
        <v>6</v>
      </c>
      <c r="L18" s="33">
        <v>15</v>
      </c>
      <c r="M18" s="34" t="s">
        <v>25</v>
      </c>
      <c r="N18" s="9" t="s">
        <v>88</v>
      </c>
    </row>
    <row r="19" spans="1:17" x14ac:dyDescent="0.2">
      <c r="A19" s="1">
        <v>43557</v>
      </c>
      <c r="B19" s="49" t="s">
        <v>248</v>
      </c>
      <c r="C19" s="37" t="s">
        <v>261</v>
      </c>
      <c r="D19" s="2">
        <v>5</v>
      </c>
      <c r="E19" s="2">
        <v>1</v>
      </c>
      <c r="F19" s="13">
        <v>13400</v>
      </c>
      <c r="G19" s="13"/>
      <c r="H19" s="2" t="s">
        <v>2</v>
      </c>
      <c r="I19" s="2" t="s">
        <v>15</v>
      </c>
      <c r="J19" s="2" t="s">
        <v>15</v>
      </c>
      <c r="K19" s="2">
        <f t="shared" si="0"/>
        <v>7</v>
      </c>
      <c r="L19" s="33">
        <v>16</v>
      </c>
      <c r="M19" s="59" t="s">
        <v>26</v>
      </c>
      <c r="N19" s="9" t="s">
        <v>89</v>
      </c>
      <c r="O19" s="2" t="s">
        <v>288</v>
      </c>
      <c r="P19" s="2" t="s">
        <v>308</v>
      </c>
      <c r="Q19" s="57" t="s">
        <v>292</v>
      </c>
    </row>
    <row r="20" spans="1:17" x14ac:dyDescent="0.2">
      <c r="A20" s="1">
        <v>43557</v>
      </c>
      <c r="B20" s="49" t="s">
        <v>248</v>
      </c>
      <c r="C20" s="37" t="s">
        <v>261</v>
      </c>
      <c r="D20" s="2">
        <v>1</v>
      </c>
      <c r="E20" s="2">
        <v>2</v>
      </c>
      <c r="F20" s="13"/>
      <c r="G20" s="13">
        <v>13400</v>
      </c>
      <c r="H20" s="2" t="s">
        <v>3</v>
      </c>
      <c r="I20" s="2" t="s">
        <v>4</v>
      </c>
      <c r="J20" s="2" t="s">
        <v>5</v>
      </c>
      <c r="K20" s="2">
        <f t="shared" si="0"/>
        <v>7</v>
      </c>
      <c r="L20" s="33">
        <v>17</v>
      </c>
      <c r="M20" s="34" t="s">
        <v>27</v>
      </c>
      <c r="N20" s="9" t="s">
        <v>86</v>
      </c>
    </row>
    <row r="21" spans="1:17" x14ac:dyDescent="0.2">
      <c r="A21" s="1">
        <v>43557</v>
      </c>
      <c r="B21" s="49" t="s">
        <v>248</v>
      </c>
      <c r="C21" s="37" t="s">
        <v>262</v>
      </c>
      <c r="D21" s="2">
        <v>7</v>
      </c>
      <c r="E21" s="2">
        <v>4</v>
      </c>
      <c r="F21" s="13">
        <v>45500</v>
      </c>
      <c r="G21" s="13"/>
      <c r="H21" s="2" t="s">
        <v>2</v>
      </c>
      <c r="I21" s="2" t="s">
        <v>17</v>
      </c>
      <c r="J21" s="2" t="s">
        <v>71</v>
      </c>
      <c r="K21" s="2">
        <f t="shared" si="0"/>
        <v>8</v>
      </c>
      <c r="L21" s="33">
        <v>18</v>
      </c>
      <c r="M21" s="34" t="s">
        <v>28</v>
      </c>
      <c r="N21" s="9" t="s">
        <v>87</v>
      </c>
      <c r="O21" s="8" t="s">
        <v>90</v>
      </c>
    </row>
    <row r="22" spans="1:17" x14ac:dyDescent="0.2">
      <c r="A22" s="1">
        <v>43557</v>
      </c>
      <c r="B22" s="49" t="s">
        <v>248</v>
      </c>
      <c r="C22" s="37" t="s">
        <v>262</v>
      </c>
      <c r="D22" s="2">
        <v>38</v>
      </c>
      <c r="E22" s="2">
        <v>1</v>
      </c>
      <c r="F22" s="13">
        <v>7650</v>
      </c>
      <c r="G22" s="13"/>
      <c r="H22" s="2" t="s">
        <v>2</v>
      </c>
      <c r="I22" s="2" t="s">
        <v>48</v>
      </c>
      <c r="J22" s="2" t="s">
        <v>222</v>
      </c>
      <c r="K22" s="2">
        <f t="shared" si="0"/>
        <v>8</v>
      </c>
      <c r="L22" s="33">
        <v>19</v>
      </c>
      <c r="M22" s="34" t="s">
        <v>29</v>
      </c>
      <c r="N22" s="9" t="s">
        <v>77</v>
      </c>
      <c r="O22" s="8" t="s">
        <v>78</v>
      </c>
      <c r="P22" s="8" t="s">
        <v>79</v>
      </c>
    </row>
    <row r="23" spans="1:17" x14ac:dyDescent="0.2">
      <c r="A23" s="1">
        <v>43557</v>
      </c>
      <c r="B23" s="49" t="s">
        <v>248</v>
      </c>
      <c r="C23" s="37" t="s">
        <v>262</v>
      </c>
      <c r="D23" s="2">
        <v>1</v>
      </c>
      <c r="E23" s="2">
        <v>2</v>
      </c>
      <c r="F23" s="13"/>
      <c r="G23" s="13">
        <v>53150</v>
      </c>
      <c r="H23" s="2" t="s">
        <v>3</v>
      </c>
      <c r="I23" s="2" t="s">
        <v>4</v>
      </c>
      <c r="J23" s="2" t="s">
        <v>5</v>
      </c>
      <c r="K23" s="2">
        <f t="shared" si="0"/>
        <v>8</v>
      </c>
      <c r="L23" s="33">
        <v>20</v>
      </c>
      <c r="M23" s="34" t="s">
        <v>30</v>
      </c>
      <c r="N23" s="9" t="s">
        <v>80</v>
      </c>
      <c r="O23" s="2" t="s">
        <v>224</v>
      </c>
    </row>
    <row r="24" spans="1:17" x14ac:dyDescent="0.2">
      <c r="A24" s="1">
        <v>43557</v>
      </c>
      <c r="B24" s="49" t="s">
        <v>248</v>
      </c>
      <c r="C24" s="37" t="s">
        <v>263</v>
      </c>
      <c r="D24" s="2">
        <v>7</v>
      </c>
      <c r="E24" s="2">
        <v>2</v>
      </c>
      <c r="F24" s="13">
        <v>45500</v>
      </c>
      <c r="G24" s="13"/>
      <c r="H24" s="2" t="s">
        <v>2</v>
      </c>
      <c r="I24" s="2" t="s">
        <v>17</v>
      </c>
      <c r="J24" s="2" t="s">
        <v>72</v>
      </c>
      <c r="K24" s="2">
        <f t="shared" si="0"/>
        <v>9</v>
      </c>
      <c r="L24" s="33">
        <v>21</v>
      </c>
      <c r="M24" s="34" t="s">
        <v>31</v>
      </c>
      <c r="N24" s="9" t="s">
        <v>31</v>
      </c>
    </row>
    <row r="25" spans="1:17" x14ac:dyDescent="0.2">
      <c r="A25" s="1">
        <v>43557</v>
      </c>
      <c r="B25" s="49" t="s">
        <v>248</v>
      </c>
      <c r="C25" s="37" t="s">
        <v>263</v>
      </c>
      <c r="D25" s="2">
        <v>7</v>
      </c>
      <c r="E25" s="2">
        <v>4</v>
      </c>
      <c r="F25" s="13"/>
      <c r="G25" s="13">
        <v>45500</v>
      </c>
      <c r="H25" s="2" t="s">
        <v>3</v>
      </c>
      <c r="I25" s="2" t="s">
        <v>17</v>
      </c>
      <c r="J25" s="2" t="s">
        <v>71</v>
      </c>
      <c r="K25" s="2">
        <f t="shared" si="0"/>
        <v>9</v>
      </c>
      <c r="L25" s="33">
        <v>22</v>
      </c>
      <c r="M25" s="34" t="s">
        <v>32</v>
      </c>
      <c r="N25" s="9" t="s">
        <v>32</v>
      </c>
    </row>
    <row r="26" spans="1:17" x14ac:dyDescent="0.2">
      <c r="A26" s="1">
        <v>43557</v>
      </c>
      <c r="B26" s="49" t="s">
        <v>248</v>
      </c>
      <c r="C26" s="37" t="s">
        <v>264</v>
      </c>
      <c r="D26" s="2">
        <v>72</v>
      </c>
      <c r="E26" s="2">
        <v>1</v>
      </c>
      <c r="F26" s="13">
        <v>160000</v>
      </c>
      <c r="G26" s="13"/>
      <c r="H26" s="2" t="s">
        <v>2</v>
      </c>
      <c r="I26" s="2" t="s">
        <v>136</v>
      </c>
      <c r="J26" s="2" t="s">
        <v>136</v>
      </c>
      <c r="K26" s="2">
        <f t="shared" si="0"/>
        <v>10</v>
      </c>
      <c r="L26" s="33">
        <v>23</v>
      </c>
      <c r="M26" s="34" t="s">
        <v>33</v>
      </c>
      <c r="N26" s="9" t="s">
        <v>81</v>
      </c>
      <c r="O26" s="2" t="s">
        <v>225</v>
      </c>
      <c r="P26" s="2" t="s">
        <v>226</v>
      </c>
      <c r="Q26" s="8" t="s">
        <v>82</v>
      </c>
    </row>
    <row r="27" spans="1:17" x14ac:dyDescent="0.2">
      <c r="A27" s="1">
        <v>43557</v>
      </c>
      <c r="B27" s="49" t="s">
        <v>248</v>
      </c>
      <c r="C27" s="37" t="s">
        <v>264</v>
      </c>
      <c r="D27" s="2">
        <v>73</v>
      </c>
      <c r="E27" s="2">
        <v>1</v>
      </c>
      <c r="F27" s="13">
        <v>60000</v>
      </c>
      <c r="G27" s="13"/>
      <c r="H27" s="2" t="s">
        <v>2</v>
      </c>
      <c r="I27" s="2" t="s">
        <v>138</v>
      </c>
      <c r="J27" s="2" t="s">
        <v>138</v>
      </c>
      <c r="K27" s="2">
        <f t="shared" si="0"/>
        <v>10</v>
      </c>
      <c r="L27" s="33">
        <v>24</v>
      </c>
      <c r="M27" s="34" t="s">
        <v>34</v>
      </c>
      <c r="N27" s="9" t="s">
        <v>91</v>
      </c>
    </row>
    <row r="28" spans="1:17" x14ac:dyDescent="0.2">
      <c r="A28" s="1">
        <v>43557</v>
      </c>
      <c r="B28" s="49" t="s">
        <v>248</v>
      </c>
      <c r="C28" s="37" t="s">
        <v>264</v>
      </c>
      <c r="D28" s="2">
        <v>64</v>
      </c>
      <c r="E28" s="2">
        <v>1</v>
      </c>
      <c r="F28" s="13">
        <v>20000</v>
      </c>
      <c r="G28" s="13"/>
      <c r="H28" s="2" t="s">
        <v>2</v>
      </c>
      <c r="I28" s="2" t="s">
        <v>128</v>
      </c>
      <c r="J28" s="2" t="s">
        <v>128</v>
      </c>
      <c r="K28" s="2">
        <f t="shared" si="0"/>
        <v>10</v>
      </c>
      <c r="L28" s="33">
        <v>25</v>
      </c>
      <c r="M28" s="34" t="s">
        <v>35</v>
      </c>
      <c r="N28" s="9" t="s">
        <v>83</v>
      </c>
    </row>
    <row r="29" spans="1:17" x14ac:dyDescent="0.2">
      <c r="A29" s="1">
        <v>43557</v>
      </c>
      <c r="B29" s="49" t="s">
        <v>248</v>
      </c>
      <c r="C29" s="37" t="s">
        <v>264</v>
      </c>
      <c r="D29" s="2">
        <v>63</v>
      </c>
      <c r="E29" s="2">
        <v>1</v>
      </c>
      <c r="F29" s="13">
        <v>5000</v>
      </c>
      <c r="G29" s="13"/>
      <c r="H29" s="2" t="s">
        <v>2</v>
      </c>
      <c r="I29" s="2" t="s">
        <v>126</v>
      </c>
      <c r="J29" s="2" t="s">
        <v>126</v>
      </c>
      <c r="K29" s="2">
        <f t="shared" si="0"/>
        <v>10</v>
      </c>
      <c r="L29" s="33">
        <v>26</v>
      </c>
      <c r="M29" s="34" t="s">
        <v>36</v>
      </c>
      <c r="N29" s="9" t="s">
        <v>84</v>
      </c>
    </row>
    <row r="30" spans="1:17" x14ac:dyDescent="0.2">
      <c r="A30" s="1">
        <v>43557</v>
      </c>
      <c r="B30" s="49" t="s">
        <v>248</v>
      </c>
      <c r="C30" s="37" t="s">
        <v>264</v>
      </c>
      <c r="D30" s="2">
        <v>60</v>
      </c>
      <c r="E30" s="2">
        <v>1</v>
      </c>
      <c r="F30" s="13">
        <v>25000</v>
      </c>
      <c r="G30" s="13"/>
      <c r="H30" s="2" t="s">
        <v>2</v>
      </c>
      <c r="I30" s="2" t="s">
        <v>124</v>
      </c>
      <c r="J30" s="2" t="s">
        <v>124</v>
      </c>
      <c r="K30" s="2">
        <f t="shared" si="0"/>
        <v>10</v>
      </c>
      <c r="L30" s="33">
        <v>27</v>
      </c>
      <c r="M30" s="34" t="s">
        <v>37</v>
      </c>
      <c r="N30" s="9" t="s">
        <v>37</v>
      </c>
    </row>
    <row r="31" spans="1:17" ht="15" thickBot="1" x14ac:dyDescent="0.25">
      <c r="A31" s="1">
        <v>43557</v>
      </c>
      <c r="B31" s="49" t="s">
        <v>248</v>
      </c>
      <c r="C31" s="37" t="s">
        <v>264</v>
      </c>
      <c r="D31" s="2">
        <v>7</v>
      </c>
      <c r="E31" s="2">
        <v>1</v>
      </c>
      <c r="F31" s="13"/>
      <c r="G31" s="13">
        <v>270000</v>
      </c>
      <c r="H31" s="2" t="s">
        <v>3</v>
      </c>
      <c r="I31" s="2" t="s">
        <v>17</v>
      </c>
      <c r="J31" s="2" t="s">
        <v>70</v>
      </c>
      <c r="K31" s="2">
        <f t="shared" si="0"/>
        <v>10</v>
      </c>
      <c r="L31" s="35">
        <v>28</v>
      </c>
      <c r="M31" s="36" t="s">
        <v>38</v>
      </c>
      <c r="N31" s="9" t="s">
        <v>38</v>
      </c>
    </row>
    <row r="32" spans="1:17" x14ac:dyDescent="0.2">
      <c r="A32" s="1">
        <v>43557</v>
      </c>
      <c r="B32" s="60" t="s">
        <v>344</v>
      </c>
      <c r="C32" s="37" t="s">
        <v>284</v>
      </c>
      <c r="D32" s="2">
        <v>72</v>
      </c>
      <c r="E32" s="2">
        <v>1</v>
      </c>
      <c r="F32" s="13">
        <v>6000</v>
      </c>
      <c r="G32" s="13"/>
      <c r="H32" s="2" t="s">
        <v>2</v>
      </c>
      <c r="I32" s="2" t="s">
        <v>136</v>
      </c>
      <c r="J32" s="2" t="s">
        <v>136</v>
      </c>
      <c r="K32" s="2">
        <f t="shared" si="0"/>
        <v>11</v>
      </c>
      <c r="L32" s="6">
        <v>29</v>
      </c>
      <c r="M32" s="17" t="s">
        <v>39</v>
      </c>
      <c r="N32" s="9" t="s">
        <v>39</v>
      </c>
    </row>
    <row r="33" spans="1:16" x14ac:dyDescent="0.2">
      <c r="A33" s="1">
        <v>43557</v>
      </c>
      <c r="B33" s="61" t="s">
        <v>344</v>
      </c>
      <c r="C33" s="37" t="s">
        <v>284</v>
      </c>
      <c r="D33" s="2">
        <v>73</v>
      </c>
      <c r="E33" s="2">
        <v>1</v>
      </c>
      <c r="F33" s="13">
        <v>2000</v>
      </c>
      <c r="G33" s="13"/>
      <c r="H33" s="2" t="s">
        <v>2</v>
      </c>
      <c r="I33" s="2" t="s">
        <v>138</v>
      </c>
      <c r="J33" s="2" t="s">
        <v>138</v>
      </c>
      <c r="K33" s="2">
        <f t="shared" si="0"/>
        <v>11</v>
      </c>
      <c r="L33" s="6">
        <v>30</v>
      </c>
      <c r="M33" s="17" t="s">
        <v>40</v>
      </c>
      <c r="N33" s="9" t="s">
        <v>40</v>
      </c>
    </row>
    <row r="34" spans="1:16" x14ac:dyDescent="0.2">
      <c r="A34" s="1">
        <v>43557</v>
      </c>
      <c r="B34" s="61" t="s">
        <v>344</v>
      </c>
      <c r="C34" s="37" t="s">
        <v>284</v>
      </c>
      <c r="D34" s="2">
        <v>64</v>
      </c>
      <c r="E34" s="2">
        <v>1</v>
      </c>
      <c r="F34" s="13">
        <v>1000</v>
      </c>
      <c r="G34" s="13"/>
      <c r="H34" s="2" t="s">
        <v>2</v>
      </c>
      <c r="I34" s="2" t="s">
        <v>128</v>
      </c>
      <c r="J34" s="2" t="s">
        <v>128</v>
      </c>
      <c r="K34" s="2">
        <f t="shared" si="0"/>
        <v>11</v>
      </c>
      <c r="L34" s="20">
        <v>31</v>
      </c>
      <c r="M34" s="3" t="s">
        <v>41</v>
      </c>
      <c r="N34" s="9" t="s">
        <v>96</v>
      </c>
    </row>
    <row r="35" spans="1:16" x14ac:dyDescent="0.2">
      <c r="A35" s="1">
        <v>43557</v>
      </c>
      <c r="B35" s="61" t="s">
        <v>344</v>
      </c>
      <c r="C35" s="37" t="s">
        <v>284</v>
      </c>
      <c r="D35" s="2">
        <v>63</v>
      </c>
      <c r="E35" s="2">
        <v>1</v>
      </c>
      <c r="F35" s="13">
        <v>1000</v>
      </c>
      <c r="G35" s="13"/>
      <c r="H35" s="2" t="s">
        <v>2</v>
      </c>
      <c r="I35" s="2" t="s">
        <v>126</v>
      </c>
      <c r="J35" s="2" t="s">
        <v>126</v>
      </c>
      <c r="K35" s="2">
        <f t="shared" si="0"/>
        <v>11</v>
      </c>
      <c r="L35" s="20">
        <v>32</v>
      </c>
      <c r="M35" s="3" t="s">
        <v>42</v>
      </c>
      <c r="N35" s="9" t="s">
        <v>97</v>
      </c>
    </row>
    <row r="36" spans="1:16" x14ac:dyDescent="0.2">
      <c r="A36" s="1">
        <v>43557</v>
      </c>
      <c r="B36" s="61" t="s">
        <v>344</v>
      </c>
      <c r="C36" s="37" t="s">
        <v>284</v>
      </c>
      <c r="D36" s="2">
        <v>37</v>
      </c>
      <c r="E36" s="2">
        <v>1</v>
      </c>
      <c r="F36" s="13"/>
      <c r="G36" s="13">
        <v>10000</v>
      </c>
      <c r="H36" s="2" t="s">
        <v>3</v>
      </c>
      <c r="I36" s="2" t="s">
        <v>47</v>
      </c>
      <c r="J36" s="2" t="s">
        <v>47</v>
      </c>
      <c r="K36" s="2">
        <f t="shared" si="0"/>
        <v>11</v>
      </c>
      <c r="L36" s="20">
        <v>33</v>
      </c>
      <c r="M36" s="3" t="s">
        <v>43</v>
      </c>
      <c r="N36" s="9" t="s">
        <v>98</v>
      </c>
    </row>
    <row r="37" spans="1:16" x14ac:dyDescent="0.2">
      <c r="A37" s="1">
        <v>43557</v>
      </c>
      <c r="B37" s="61" t="s">
        <v>344</v>
      </c>
      <c r="C37" s="37" t="s">
        <v>265</v>
      </c>
      <c r="D37" s="2">
        <v>72</v>
      </c>
      <c r="E37" s="2">
        <v>1</v>
      </c>
      <c r="F37" s="13">
        <v>60000</v>
      </c>
      <c r="G37" s="13"/>
      <c r="H37" s="2" t="s">
        <v>2</v>
      </c>
      <c r="I37" s="2" t="s">
        <v>136</v>
      </c>
      <c r="J37" s="2" t="s">
        <v>136</v>
      </c>
      <c r="K37" s="2">
        <f t="shared" si="0"/>
        <v>12</v>
      </c>
      <c r="L37" s="20">
        <v>34</v>
      </c>
      <c r="M37" s="3" t="s">
        <v>44</v>
      </c>
      <c r="N37" s="9" t="s">
        <v>99</v>
      </c>
      <c r="O37" s="2" t="s">
        <v>100</v>
      </c>
    </row>
    <row r="38" spans="1:16" x14ac:dyDescent="0.2">
      <c r="A38" s="1">
        <v>43557</v>
      </c>
      <c r="B38" s="61" t="s">
        <v>344</v>
      </c>
      <c r="C38" s="37" t="s">
        <v>265</v>
      </c>
      <c r="D38" s="2">
        <v>73</v>
      </c>
      <c r="E38" s="2">
        <v>1</v>
      </c>
      <c r="F38" s="13"/>
      <c r="G38" s="13">
        <v>60000</v>
      </c>
      <c r="H38" s="2" t="s">
        <v>3</v>
      </c>
      <c r="I38" s="2" t="s">
        <v>138</v>
      </c>
      <c r="J38" s="2" t="s">
        <v>138</v>
      </c>
      <c r="K38" s="2">
        <f t="shared" si="0"/>
        <v>12</v>
      </c>
      <c r="L38" s="20">
        <v>35</v>
      </c>
      <c r="M38" s="3" t="s">
        <v>45</v>
      </c>
      <c r="N38" s="9" t="s">
        <v>101</v>
      </c>
    </row>
    <row r="39" spans="1:16" x14ac:dyDescent="0.2">
      <c r="A39" s="1">
        <v>43557</v>
      </c>
      <c r="B39" s="49" t="s">
        <v>248</v>
      </c>
      <c r="C39" s="37" t="s">
        <v>266</v>
      </c>
      <c r="D39" s="2">
        <v>7</v>
      </c>
      <c r="E39" s="2">
        <v>2</v>
      </c>
      <c r="F39" s="13">
        <v>220000</v>
      </c>
      <c r="G39" s="13"/>
      <c r="H39" s="2" t="s">
        <v>2</v>
      </c>
      <c r="I39" s="2" t="s">
        <v>17</v>
      </c>
      <c r="J39" s="2" t="s">
        <v>72</v>
      </c>
      <c r="K39" s="2">
        <f t="shared" si="0"/>
        <v>13</v>
      </c>
      <c r="L39" s="20">
        <v>36</v>
      </c>
      <c r="M39" s="3" t="s">
        <v>46</v>
      </c>
      <c r="N39" s="9" t="s">
        <v>105</v>
      </c>
    </row>
    <row r="40" spans="1:16" x14ac:dyDescent="0.2">
      <c r="A40" s="1">
        <v>43557</v>
      </c>
      <c r="B40" s="49" t="s">
        <v>248</v>
      </c>
      <c r="C40" s="37" t="s">
        <v>266</v>
      </c>
      <c r="D40" s="2">
        <v>72</v>
      </c>
      <c r="E40" s="2">
        <v>1</v>
      </c>
      <c r="F40" s="13"/>
      <c r="G40" s="13">
        <v>220000</v>
      </c>
      <c r="H40" s="2" t="s">
        <v>3</v>
      </c>
      <c r="I40" s="2" t="s">
        <v>136</v>
      </c>
      <c r="J40" s="2" t="s">
        <v>136</v>
      </c>
      <c r="K40" s="2">
        <f t="shared" si="0"/>
        <v>13</v>
      </c>
      <c r="L40" s="20">
        <v>37</v>
      </c>
      <c r="M40" s="3" t="s">
        <v>47</v>
      </c>
      <c r="N40" s="9" t="s">
        <v>92</v>
      </c>
    </row>
    <row r="41" spans="1:16" x14ac:dyDescent="0.2">
      <c r="A41" s="1">
        <v>43557</v>
      </c>
      <c r="B41" s="49" t="s">
        <v>248</v>
      </c>
      <c r="C41" s="37" t="s">
        <v>267</v>
      </c>
      <c r="D41" s="2">
        <v>7</v>
      </c>
      <c r="E41" s="2">
        <v>10</v>
      </c>
      <c r="F41" s="13">
        <v>50000</v>
      </c>
      <c r="G41" s="13"/>
      <c r="H41" s="2" t="s">
        <v>2</v>
      </c>
      <c r="I41" s="2" t="s">
        <v>17</v>
      </c>
      <c r="J41" s="2" t="s">
        <v>73</v>
      </c>
      <c r="K41" s="2">
        <f t="shared" si="0"/>
        <v>14</v>
      </c>
      <c r="L41" s="20">
        <v>38</v>
      </c>
      <c r="M41" s="3" t="s">
        <v>48</v>
      </c>
      <c r="N41" s="9" t="s">
        <v>222</v>
      </c>
      <c r="O41" s="2" t="s">
        <v>223</v>
      </c>
    </row>
    <row r="42" spans="1:16" x14ac:dyDescent="0.2">
      <c r="A42" s="1">
        <v>43557</v>
      </c>
      <c r="B42" s="49" t="s">
        <v>248</v>
      </c>
      <c r="C42" s="37" t="s">
        <v>267</v>
      </c>
      <c r="D42" s="2">
        <v>7</v>
      </c>
      <c r="E42" s="2">
        <v>1</v>
      </c>
      <c r="F42" s="13"/>
      <c r="G42" s="13">
        <v>50000</v>
      </c>
      <c r="H42" s="2" t="s">
        <v>3</v>
      </c>
      <c r="I42" s="2" t="s">
        <v>17</v>
      </c>
      <c r="J42" s="2" t="s">
        <v>70</v>
      </c>
      <c r="K42" s="2">
        <f t="shared" si="0"/>
        <v>14</v>
      </c>
      <c r="L42" s="20">
        <v>39</v>
      </c>
      <c r="M42" s="3" t="s">
        <v>49</v>
      </c>
      <c r="N42" s="9" t="s">
        <v>102</v>
      </c>
      <c r="O42" s="8" t="s">
        <v>338</v>
      </c>
      <c r="P42" s="8" t="s">
        <v>339</v>
      </c>
    </row>
    <row r="43" spans="1:16" x14ac:dyDescent="0.2">
      <c r="A43" s="1">
        <v>43557</v>
      </c>
      <c r="B43" s="49" t="s">
        <v>248</v>
      </c>
      <c r="C43" s="37" t="s">
        <v>268</v>
      </c>
      <c r="D43" s="2">
        <v>7</v>
      </c>
      <c r="E43" s="2">
        <v>10</v>
      </c>
      <c r="F43" s="13">
        <v>1200</v>
      </c>
      <c r="G43" s="13"/>
      <c r="H43" s="2" t="s">
        <v>2</v>
      </c>
      <c r="I43" s="2" t="s">
        <v>17</v>
      </c>
      <c r="J43" s="2" t="s">
        <v>73</v>
      </c>
      <c r="K43" s="2">
        <f t="shared" si="0"/>
        <v>15</v>
      </c>
      <c r="L43" s="20">
        <v>40</v>
      </c>
      <c r="M43" s="3" t="s">
        <v>50</v>
      </c>
      <c r="N43" s="9" t="s">
        <v>93</v>
      </c>
    </row>
    <row r="44" spans="1:16" x14ac:dyDescent="0.2">
      <c r="A44" s="1">
        <v>43557</v>
      </c>
      <c r="B44" s="49" t="s">
        <v>248</v>
      </c>
      <c r="C44" s="37" t="s">
        <v>268</v>
      </c>
      <c r="D44" s="2">
        <v>38</v>
      </c>
      <c r="E44" s="2">
        <v>1</v>
      </c>
      <c r="F44" s="13">
        <v>170</v>
      </c>
      <c r="G44" s="13"/>
      <c r="H44" s="2" t="s">
        <v>2</v>
      </c>
      <c r="I44" s="2" t="s">
        <v>48</v>
      </c>
      <c r="J44" s="2" t="s">
        <v>222</v>
      </c>
      <c r="K44" s="2">
        <f t="shared" si="0"/>
        <v>15</v>
      </c>
      <c r="L44" s="20">
        <v>41</v>
      </c>
      <c r="M44" s="3" t="s">
        <v>51</v>
      </c>
      <c r="N44" s="9" t="s">
        <v>94</v>
      </c>
    </row>
    <row r="45" spans="1:16" ht="15" thickBot="1" x14ac:dyDescent="0.25">
      <c r="A45" s="1">
        <v>43557</v>
      </c>
      <c r="B45" s="49" t="s">
        <v>248</v>
      </c>
      <c r="C45" s="37" t="s">
        <v>268</v>
      </c>
      <c r="D45" s="2">
        <v>1</v>
      </c>
      <c r="E45" s="2">
        <v>2</v>
      </c>
      <c r="F45" s="13"/>
      <c r="G45" s="13">
        <v>1370</v>
      </c>
      <c r="H45" s="2" t="s">
        <v>3</v>
      </c>
      <c r="I45" s="2" t="s">
        <v>4</v>
      </c>
      <c r="J45" s="2" t="s">
        <v>5</v>
      </c>
      <c r="K45" s="2">
        <f t="shared" si="0"/>
        <v>15</v>
      </c>
      <c r="L45" s="20">
        <v>42</v>
      </c>
      <c r="M45" s="3" t="s">
        <v>52</v>
      </c>
      <c r="N45" s="9" t="s">
        <v>95</v>
      </c>
    </row>
    <row r="46" spans="1:16" x14ac:dyDescent="0.2">
      <c r="A46" s="1">
        <v>43557</v>
      </c>
      <c r="B46" s="49" t="s">
        <v>248</v>
      </c>
      <c r="C46" s="37" t="s">
        <v>269</v>
      </c>
      <c r="D46" s="2">
        <v>7</v>
      </c>
      <c r="E46" s="2">
        <v>1</v>
      </c>
      <c r="F46" s="13">
        <v>51200</v>
      </c>
      <c r="G46" s="13"/>
      <c r="H46" s="2" t="s">
        <v>2</v>
      </c>
      <c r="I46" s="2" t="s">
        <v>17</v>
      </c>
      <c r="J46" s="2" t="s">
        <v>70</v>
      </c>
      <c r="K46" s="2">
        <f t="shared" si="0"/>
        <v>16</v>
      </c>
      <c r="L46" s="26">
        <v>43</v>
      </c>
      <c r="M46" s="27" t="s">
        <v>53</v>
      </c>
      <c r="N46" s="9" t="s">
        <v>103</v>
      </c>
    </row>
    <row r="47" spans="1:16" x14ac:dyDescent="0.2">
      <c r="A47" s="1">
        <v>43557</v>
      </c>
      <c r="B47" s="49" t="s">
        <v>248</v>
      </c>
      <c r="C47" s="37" t="s">
        <v>269</v>
      </c>
      <c r="D47" s="2">
        <v>7</v>
      </c>
      <c r="E47" s="2">
        <v>10</v>
      </c>
      <c r="F47" s="13"/>
      <c r="G47" s="13">
        <v>51200</v>
      </c>
      <c r="H47" s="2" t="s">
        <v>3</v>
      </c>
      <c r="I47" s="2" t="s">
        <v>17</v>
      </c>
      <c r="J47" s="2" t="s">
        <v>73</v>
      </c>
      <c r="K47" s="2">
        <f t="shared" si="0"/>
        <v>16</v>
      </c>
      <c r="L47" s="28">
        <v>44</v>
      </c>
      <c r="M47" s="29" t="s">
        <v>54</v>
      </c>
      <c r="N47" s="9" t="s">
        <v>140</v>
      </c>
      <c r="O47" s="2" t="s">
        <v>141</v>
      </c>
    </row>
    <row r="48" spans="1:16" x14ac:dyDescent="0.2">
      <c r="A48" s="1">
        <v>43557</v>
      </c>
      <c r="B48" s="49" t="s">
        <v>248</v>
      </c>
      <c r="C48" s="37" t="s">
        <v>270</v>
      </c>
      <c r="D48" s="2">
        <v>20</v>
      </c>
      <c r="E48" s="2">
        <v>1</v>
      </c>
      <c r="F48" s="13">
        <v>200000</v>
      </c>
      <c r="G48" s="13"/>
      <c r="H48" s="2" t="s">
        <v>2</v>
      </c>
      <c r="I48" s="2" t="s">
        <v>30</v>
      </c>
      <c r="J48" s="2" t="s">
        <v>30</v>
      </c>
      <c r="K48" s="2">
        <f t="shared" si="0"/>
        <v>17</v>
      </c>
      <c r="L48" s="28">
        <v>45</v>
      </c>
      <c r="M48" s="29" t="s">
        <v>55</v>
      </c>
      <c r="N48" s="9" t="s">
        <v>104</v>
      </c>
    </row>
    <row r="49" spans="1:16" x14ac:dyDescent="0.2">
      <c r="A49" s="1">
        <v>43557</v>
      </c>
      <c r="B49" s="49" t="s">
        <v>248</v>
      </c>
      <c r="C49" s="37" t="s">
        <v>270</v>
      </c>
      <c r="D49" s="2">
        <v>38</v>
      </c>
      <c r="E49" s="2">
        <v>1</v>
      </c>
      <c r="F49" s="13">
        <v>34000</v>
      </c>
      <c r="G49" s="13"/>
      <c r="H49" s="2" t="s">
        <v>2</v>
      </c>
      <c r="I49" s="2" t="s">
        <v>48</v>
      </c>
      <c r="J49" s="2" t="s">
        <v>222</v>
      </c>
      <c r="K49" s="2">
        <f t="shared" si="0"/>
        <v>17</v>
      </c>
      <c r="L49" s="28">
        <v>46</v>
      </c>
      <c r="M49" s="29" t="s">
        <v>56</v>
      </c>
      <c r="N49" s="9" t="s">
        <v>106</v>
      </c>
    </row>
    <row r="50" spans="1:16" x14ac:dyDescent="0.2">
      <c r="A50" s="1">
        <v>43557</v>
      </c>
      <c r="B50" s="49" t="s">
        <v>248</v>
      </c>
      <c r="C50" s="37" t="s">
        <v>270</v>
      </c>
      <c r="D50" s="2">
        <v>1</v>
      </c>
      <c r="E50" s="2">
        <v>2</v>
      </c>
      <c r="F50" s="13"/>
      <c r="G50" s="13">
        <v>234000</v>
      </c>
      <c r="H50" s="2" t="s">
        <v>3</v>
      </c>
      <c r="I50" s="2" t="s">
        <v>4</v>
      </c>
      <c r="J50" s="2" t="s">
        <v>5</v>
      </c>
      <c r="K50" s="2">
        <f t="shared" si="0"/>
        <v>17</v>
      </c>
      <c r="L50" s="28">
        <v>47</v>
      </c>
      <c r="M50" s="29" t="s">
        <v>57</v>
      </c>
      <c r="N50" s="9" t="s">
        <v>107</v>
      </c>
    </row>
    <row r="51" spans="1:16" x14ac:dyDescent="0.2">
      <c r="A51" s="1">
        <v>43557</v>
      </c>
      <c r="B51" s="49" t="s">
        <v>248</v>
      </c>
      <c r="C51" s="37" t="s">
        <v>271</v>
      </c>
      <c r="D51" s="2">
        <v>20</v>
      </c>
      <c r="E51" s="2">
        <v>1</v>
      </c>
      <c r="F51" s="13">
        <v>20000</v>
      </c>
      <c r="G51" s="13"/>
      <c r="H51" s="2" t="s">
        <v>2</v>
      </c>
      <c r="I51" s="2" t="s">
        <v>30</v>
      </c>
      <c r="J51" s="2" t="s">
        <v>30</v>
      </c>
      <c r="K51" s="2">
        <f t="shared" si="0"/>
        <v>18</v>
      </c>
      <c r="L51" s="28">
        <v>48</v>
      </c>
      <c r="M51" s="29" t="s">
        <v>58</v>
      </c>
      <c r="N51" s="9" t="s">
        <v>108</v>
      </c>
    </row>
    <row r="52" spans="1:16" ht="15" thickBot="1" x14ac:dyDescent="0.25">
      <c r="A52" s="1">
        <v>43557</v>
      </c>
      <c r="B52" s="49" t="s">
        <v>248</v>
      </c>
      <c r="C52" s="37" t="s">
        <v>271</v>
      </c>
      <c r="D52" s="2">
        <v>38</v>
      </c>
      <c r="E52" s="2">
        <v>1</v>
      </c>
      <c r="F52" s="13">
        <v>3400</v>
      </c>
      <c r="G52" s="13"/>
      <c r="H52" s="2" t="s">
        <v>2</v>
      </c>
      <c r="I52" s="2" t="s">
        <v>48</v>
      </c>
      <c r="J52" s="2" t="s">
        <v>222</v>
      </c>
      <c r="K52" s="2">
        <f t="shared" si="0"/>
        <v>18</v>
      </c>
      <c r="L52" s="30">
        <v>49</v>
      </c>
      <c r="M52" s="31" t="s">
        <v>59</v>
      </c>
      <c r="N52" s="9" t="s">
        <v>109</v>
      </c>
    </row>
    <row r="53" spans="1:16" x14ac:dyDescent="0.2">
      <c r="A53" s="1">
        <v>43557</v>
      </c>
      <c r="B53" s="49" t="s">
        <v>248</v>
      </c>
      <c r="C53" s="37" t="s">
        <v>271</v>
      </c>
      <c r="D53" s="2">
        <v>1</v>
      </c>
      <c r="E53" s="2">
        <v>2</v>
      </c>
      <c r="F53" s="13"/>
      <c r="G53" s="13">
        <v>23400</v>
      </c>
      <c r="H53" s="2" t="s">
        <v>3</v>
      </c>
      <c r="I53" s="2" t="s">
        <v>4</v>
      </c>
      <c r="J53" s="2" t="s">
        <v>5</v>
      </c>
      <c r="K53" s="2">
        <f t="shared" si="0"/>
        <v>18</v>
      </c>
      <c r="L53" s="7">
        <v>50</v>
      </c>
      <c r="M53" s="18" t="s">
        <v>60</v>
      </c>
      <c r="N53" s="9" t="s">
        <v>110</v>
      </c>
    </row>
    <row r="54" spans="1:16" x14ac:dyDescent="0.2">
      <c r="A54" s="1">
        <v>43557</v>
      </c>
      <c r="B54" s="49" t="s">
        <v>248</v>
      </c>
      <c r="C54" s="37" t="s">
        <v>272</v>
      </c>
      <c r="D54" s="2">
        <v>19</v>
      </c>
      <c r="E54" s="2">
        <v>1</v>
      </c>
      <c r="F54" s="13">
        <v>220000</v>
      </c>
      <c r="G54" s="13"/>
      <c r="H54" s="2" t="s">
        <v>2</v>
      </c>
      <c r="I54" s="2" t="s">
        <v>29</v>
      </c>
      <c r="J54" s="2" t="s">
        <v>29</v>
      </c>
      <c r="K54" s="2">
        <f t="shared" si="0"/>
        <v>19</v>
      </c>
      <c r="L54" s="7">
        <v>51</v>
      </c>
      <c r="M54" s="18" t="s">
        <v>139</v>
      </c>
      <c r="N54" s="9" t="s">
        <v>140</v>
      </c>
      <c r="O54" s="2" t="s">
        <v>141</v>
      </c>
    </row>
    <row r="55" spans="1:16" x14ac:dyDescent="0.2">
      <c r="A55" s="1">
        <v>43557</v>
      </c>
      <c r="B55" s="49" t="s">
        <v>248</v>
      </c>
      <c r="C55" s="37" t="s">
        <v>272</v>
      </c>
      <c r="D55" s="2">
        <v>20</v>
      </c>
      <c r="E55" s="2">
        <v>1</v>
      </c>
      <c r="F55" s="13"/>
      <c r="G55" s="13">
        <v>220000</v>
      </c>
      <c r="H55" s="2" t="s">
        <v>3</v>
      </c>
      <c r="I55" s="2" t="s">
        <v>30</v>
      </c>
      <c r="J55" s="2" t="s">
        <v>30</v>
      </c>
      <c r="K55" s="2">
        <f t="shared" si="0"/>
        <v>19</v>
      </c>
      <c r="L55" s="7">
        <v>52</v>
      </c>
      <c r="M55" s="18" t="s">
        <v>61</v>
      </c>
      <c r="N55" s="9" t="s">
        <v>111</v>
      </c>
      <c r="O55" s="2" t="s">
        <v>346</v>
      </c>
      <c r="P55" s="2" t="s">
        <v>351</v>
      </c>
    </row>
    <row r="56" spans="1:16" x14ac:dyDescent="0.2">
      <c r="A56" s="1">
        <v>43557</v>
      </c>
      <c r="B56" s="49" t="s">
        <v>248</v>
      </c>
      <c r="C56" s="37" t="s">
        <v>274</v>
      </c>
      <c r="D56" s="2">
        <v>20</v>
      </c>
      <c r="E56" s="2">
        <v>2</v>
      </c>
      <c r="F56" s="13">
        <v>600000</v>
      </c>
      <c r="G56" s="13"/>
      <c r="H56" s="2" t="s">
        <v>2</v>
      </c>
      <c r="I56" s="2" t="s">
        <v>30</v>
      </c>
      <c r="J56" s="2" t="s">
        <v>224</v>
      </c>
      <c r="K56" s="2">
        <f t="shared" si="0"/>
        <v>20</v>
      </c>
      <c r="L56" s="7">
        <v>53</v>
      </c>
      <c r="M56" s="18" t="s">
        <v>62</v>
      </c>
      <c r="N56" s="9" t="s">
        <v>112</v>
      </c>
    </row>
    <row r="57" spans="1:16" x14ac:dyDescent="0.2">
      <c r="A57" s="1">
        <v>43557</v>
      </c>
      <c r="B57" s="49" t="s">
        <v>248</v>
      </c>
      <c r="C57" s="37" t="s">
        <v>274</v>
      </c>
      <c r="D57" s="2">
        <v>38</v>
      </c>
      <c r="E57" s="2">
        <v>1</v>
      </c>
      <c r="F57" s="13">
        <v>102000</v>
      </c>
      <c r="G57" s="13"/>
      <c r="H57" s="2" t="s">
        <v>2</v>
      </c>
      <c r="I57" s="2" t="s">
        <v>48</v>
      </c>
      <c r="J57" s="2" t="s">
        <v>222</v>
      </c>
      <c r="K57" s="2">
        <f t="shared" si="0"/>
        <v>20</v>
      </c>
      <c r="L57" s="7">
        <v>54</v>
      </c>
      <c r="M57" s="18" t="s">
        <v>63</v>
      </c>
      <c r="N57" s="9" t="s">
        <v>113</v>
      </c>
    </row>
    <row r="58" spans="1:16" x14ac:dyDescent="0.2">
      <c r="A58" s="1">
        <v>43557</v>
      </c>
      <c r="B58" s="49" t="s">
        <v>248</v>
      </c>
      <c r="C58" s="37" t="s">
        <v>274</v>
      </c>
      <c r="D58" s="2">
        <v>1</v>
      </c>
      <c r="E58" s="2">
        <v>2</v>
      </c>
      <c r="F58" s="13"/>
      <c r="G58" s="13">
        <v>702000</v>
      </c>
      <c r="H58" s="2" t="s">
        <v>3</v>
      </c>
      <c r="I58" s="2" t="s">
        <v>4</v>
      </c>
      <c r="J58" s="2" t="s">
        <v>5</v>
      </c>
      <c r="K58" s="2">
        <f t="shared" si="0"/>
        <v>20</v>
      </c>
      <c r="L58" s="7">
        <v>55</v>
      </c>
      <c r="M58" s="18" t="s">
        <v>64</v>
      </c>
      <c r="N58" s="9" t="s">
        <v>114</v>
      </c>
    </row>
    <row r="59" spans="1:16" x14ac:dyDescent="0.2">
      <c r="A59" s="1">
        <v>43557</v>
      </c>
      <c r="B59" s="49" t="s">
        <v>248</v>
      </c>
      <c r="C59" s="37" t="s">
        <v>273</v>
      </c>
      <c r="D59" s="2">
        <v>20</v>
      </c>
      <c r="E59" s="2">
        <v>1</v>
      </c>
      <c r="F59" s="13">
        <v>600000</v>
      </c>
      <c r="G59" s="13"/>
      <c r="H59" s="2" t="s">
        <v>2</v>
      </c>
      <c r="I59" s="2" t="s">
        <v>30</v>
      </c>
      <c r="J59" s="2" t="s">
        <v>30</v>
      </c>
      <c r="K59" s="2">
        <f t="shared" si="0"/>
        <v>21</v>
      </c>
      <c r="L59" s="21">
        <v>56</v>
      </c>
      <c r="M59" s="19" t="s">
        <v>116</v>
      </c>
      <c r="N59" s="9" t="s">
        <v>115</v>
      </c>
    </row>
    <row r="60" spans="1:16" x14ac:dyDescent="0.2">
      <c r="A60" s="1">
        <v>43557</v>
      </c>
      <c r="B60" s="49" t="s">
        <v>248</v>
      </c>
      <c r="C60" s="37" t="s">
        <v>273</v>
      </c>
      <c r="D60" s="2">
        <v>20</v>
      </c>
      <c r="E60" s="2">
        <v>2</v>
      </c>
      <c r="F60" s="13"/>
      <c r="G60" s="13">
        <v>600000</v>
      </c>
      <c r="H60" s="2" t="s">
        <v>3</v>
      </c>
      <c r="I60" s="2" t="s">
        <v>30</v>
      </c>
      <c r="J60" s="2" t="s">
        <v>224</v>
      </c>
      <c r="K60" s="2">
        <f t="shared" si="0"/>
        <v>21</v>
      </c>
      <c r="L60" s="21">
        <v>57</v>
      </c>
      <c r="M60" s="19" t="s">
        <v>118</v>
      </c>
      <c r="N60" s="9" t="s">
        <v>117</v>
      </c>
    </row>
    <row r="61" spans="1:16" x14ac:dyDescent="0.2">
      <c r="A61" s="1">
        <v>43557</v>
      </c>
      <c r="B61" s="49" t="s">
        <v>248</v>
      </c>
      <c r="C61" s="37" t="s">
        <v>275</v>
      </c>
      <c r="D61" s="2">
        <v>20</v>
      </c>
      <c r="E61" s="2">
        <v>1</v>
      </c>
      <c r="F61" s="13">
        <v>100000</v>
      </c>
      <c r="G61" s="13"/>
      <c r="H61" s="2" t="s">
        <v>2</v>
      </c>
      <c r="I61" s="2" t="s">
        <v>30</v>
      </c>
      <c r="J61" s="2" t="s">
        <v>30</v>
      </c>
      <c r="K61" s="2">
        <f t="shared" si="0"/>
        <v>22</v>
      </c>
      <c r="L61" s="21">
        <v>58</v>
      </c>
      <c r="M61" s="19" t="s">
        <v>120</v>
      </c>
      <c r="N61" s="9" t="s">
        <v>119</v>
      </c>
    </row>
    <row r="62" spans="1:16" x14ac:dyDescent="0.2">
      <c r="A62" s="1">
        <v>43557</v>
      </c>
      <c r="B62" s="49" t="s">
        <v>248</v>
      </c>
      <c r="C62" s="37" t="s">
        <v>275</v>
      </c>
      <c r="D62" s="2">
        <v>7</v>
      </c>
      <c r="E62" s="2">
        <v>1</v>
      </c>
      <c r="F62" s="13"/>
      <c r="G62" s="13">
        <v>100000</v>
      </c>
      <c r="H62" s="2" t="s">
        <v>3</v>
      </c>
      <c r="I62" s="2" t="s">
        <v>17</v>
      </c>
      <c r="J62" s="2" t="s">
        <v>70</v>
      </c>
      <c r="K62" s="2">
        <f t="shared" si="0"/>
        <v>22</v>
      </c>
      <c r="L62" s="21">
        <v>59</v>
      </c>
      <c r="M62" s="19" t="s">
        <v>122</v>
      </c>
      <c r="N62" s="9" t="s">
        <v>121</v>
      </c>
      <c r="O62" s="2" t="s">
        <v>240</v>
      </c>
    </row>
    <row r="63" spans="1:16" x14ac:dyDescent="0.2">
      <c r="A63" s="1">
        <v>43557</v>
      </c>
      <c r="B63" s="49" t="s">
        <v>248</v>
      </c>
      <c r="C63" s="37" t="s">
        <v>276</v>
      </c>
      <c r="D63" s="2">
        <v>38</v>
      </c>
      <c r="E63" s="2">
        <v>1</v>
      </c>
      <c r="F63" s="13">
        <v>6800</v>
      </c>
      <c r="G63" s="13"/>
      <c r="H63" s="2" t="s">
        <v>2</v>
      </c>
      <c r="I63" s="2" t="s">
        <v>48</v>
      </c>
      <c r="J63" s="2" t="s">
        <v>222</v>
      </c>
      <c r="K63" s="2">
        <f t="shared" si="0"/>
        <v>23</v>
      </c>
      <c r="L63" s="21">
        <v>60</v>
      </c>
      <c r="M63" s="19" t="s">
        <v>124</v>
      </c>
      <c r="N63" s="9" t="s">
        <v>123</v>
      </c>
    </row>
    <row r="64" spans="1:16" x14ac:dyDescent="0.2">
      <c r="A64" s="1">
        <v>43557</v>
      </c>
      <c r="B64" s="49" t="s">
        <v>248</v>
      </c>
      <c r="C64" s="37" t="s">
        <v>276</v>
      </c>
      <c r="D64" s="2">
        <v>38</v>
      </c>
      <c r="E64" s="2">
        <v>1</v>
      </c>
      <c r="F64" s="13"/>
      <c r="G64" s="13">
        <v>6800</v>
      </c>
      <c r="H64" s="2" t="s">
        <v>3</v>
      </c>
      <c r="I64" s="2" t="s">
        <v>48</v>
      </c>
      <c r="J64" s="2" t="s">
        <v>222</v>
      </c>
      <c r="K64" s="2">
        <f t="shared" si="0"/>
        <v>23</v>
      </c>
      <c r="L64" s="21">
        <v>61</v>
      </c>
      <c r="M64" s="19" t="s">
        <v>215</v>
      </c>
      <c r="N64" s="9" t="s">
        <v>216</v>
      </c>
    </row>
    <row r="65" spans="1:14" x14ac:dyDescent="0.2">
      <c r="A65" s="1">
        <v>43557</v>
      </c>
      <c r="B65" s="61" t="s">
        <v>344</v>
      </c>
      <c r="C65" s="37" t="s">
        <v>277</v>
      </c>
      <c r="D65" s="2">
        <v>20</v>
      </c>
      <c r="E65" s="2">
        <v>1</v>
      </c>
      <c r="F65" s="13">
        <v>120000</v>
      </c>
      <c r="G65" s="13"/>
      <c r="H65" s="2" t="s">
        <v>2</v>
      </c>
      <c r="I65" s="2" t="s">
        <v>30</v>
      </c>
      <c r="J65" s="2" t="s">
        <v>30</v>
      </c>
      <c r="K65" s="2">
        <f t="shared" si="0"/>
        <v>24</v>
      </c>
      <c r="L65" s="21">
        <v>62</v>
      </c>
      <c r="M65" s="19" t="s">
        <v>228</v>
      </c>
      <c r="N65" s="9" t="s">
        <v>227</v>
      </c>
    </row>
    <row r="66" spans="1:14" x14ac:dyDescent="0.2">
      <c r="A66" s="1">
        <v>43557</v>
      </c>
      <c r="B66" s="61" t="s">
        <v>344</v>
      </c>
      <c r="C66" s="37" t="s">
        <v>277</v>
      </c>
      <c r="D66" s="2">
        <v>37</v>
      </c>
      <c r="E66" s="2">
        <v>1</v>
      </c>
      <c r="F66" s="13"/>
      <c r="G66" s="13">
        <v>120000</v>
      </c>
      <c r="H66" s="2" t="s">
        <v>3</v>
      </c>
      <c r="I66" s="2" t="s">
        <v>47</v>
      </c>
      <c r="J66" s="2" t="s">
        <v>47</v>
      </c>
      <c r="K66" s="2">
        <f t="shared" si="0"/>
        <v>24</v>
      </c>
      <c r="L66" s="21">
        <v>63</v>
      </c>
      <c r="M66" s="19" t="s">
        <v>126</v>
      </c>
      <c r="N66" s="9" t="s">
        <v>125</v>
      </c>
    </row>
    <row r="67" spans="1:14" x14ac:dyDescent="0.2">
      <c r="A67" s="1">
        <v>43557</v>
      </c>
      <c r="B67" s="61" t="s">
        <v>344</v>
      </c>
      <c r="C67" s="37" t="s">
        <v>278</v>
      </c>
      <c r="D67" s="2">
        <v>20</v>
      </c>
      <c r="E67" s="2">
        <v>1</v>
      </c>
      <c r="F67" s="13">
        <v>50000</v>
      </c>
      <c r="G67" s="13"/>
      <c r="H67" s="2" t="s">
        <v>2</v>
      </c>
      <c r="I67" s="2" t="s">
        <v>30</v>
      </c>
      <c r="J67" s="2" t="s">
        <v>30</v>
      </c>
      <c r="K67" s="2">
        <f t="shared" si="0"/>
        <v>25</v>
      </c>
      <c r="L67" s="21">
        <v>64</v>
      </c>
      <c r="M67" s="19" t="s">
        <v>128</v>
      </c>
      <c r="N67" s="9" t="s">
        <v>127</v>
      </c>
    </row>
    <row r="68" spans="1:14" x14ac:dyDescent="0.2">
      <c r="A68" s="1">
        <v>43557</v>
      </c>
      <c r="B68" s="61" t="s">
        <v>344</v>
      </c>
      <c r="C68" s="37" t="s">
        <v>278</v>
      </c>
      <c r="D68" s="2">
        <v>1</v>
      </c>
      <c r="E68" s="2">
        <v>2</v>
      </c>
      <c r="F68" s="13"/>
      <c r="G68" s="13">
        <v>50000</v>
      </c>
      <c r="H68" s="2" t="s">
        <v>3</v>
      </c>
      <c r="I68" s="2" t="s">
        <v>4</v>
      </c>
      <c r="J68" s="2" t="s">
        <v>5</v>
      </c>
      <c r="K68" s="2">
        <f t="shared" si="0"/>
        <v>25</v>
      </c>
      <c r="L68" s="21">
        <v>65</v>
      </c>
      <c r="M68" s="19" t="s">
        <v>230</v>
      </c>
      <c r="N68" s="9" t="s">
        <v>229</v>
      </c>
    </row>
    <row r="69" spans="1:14" x14ac:dyDescent="0.2">
      <c r="A69" s="1">
        <v>43557</v>
      </c>
      <c r="B69" s="49" t="s">
        <v>248</v>
      </c>
      <c r="C69" s="37" t="s">
        <v>279</v>
      </c>
      <c r="D69" s="2">
        <v>19</v>
      </c>
      <c r="E69" s="2">
        <v>1</v>
      </c>
      <c r="F69" s="13">
        <v>920000</v>
      </c>
      <c r="G69" s="13"/>
      <c r="H69" s="2" t="s">
        <v>2</v>
      </c>
      <c r="I69" s="2" t="s">
        <v>29</v>
      </c>
      <c r="J69" s="2" t="s">
        <v>29</v>
      </c>
      <c r="K69" s="2">
        <f t="shared" si="0"/>
        <v>26</v>
      </c>
      <c r="L69" s="21">
        <v>66</v>
      </c>
      <c r="M69" s="19" t="s">
        <v>130</v>
      </c>
      <c r="N69" s="9" t="s">
        <v>129</v>
      </c>
    </row>
    <row r="70" spans="1:14" x14ac:dyDescent="0.2">
      <c r="A70" s="1">
        <v>43557</v>
      </c>
      <c r="B70" s="49" t="s">
        <v>248</v>
      </c>
      <c r="C70" s="37" t="s">
        <v>279</v>
      </c>
      <c r="D70" s="2">
        <v>20</v>
      </c>
      <c r="E70" s="2">
        <v>1</v>
      </c>
      <c r="F70" s="13"/>
      <c r="G70" s="13">
        <v>920000</v>
      </c>
      <c r="H70" s="2" t="s">
        <v>3</v>
      </c>
      <c r="I70" s="2" t="s">
        <v>30</v>
      </c>
      <c r="J70" s="2" t="s">
        <v>30</v>
      </c>
      <c r="K70" s="2">
        <f t="shared" ref="K70:K133" si="1">IF(F70 &gt; 0,IF(G69&gt;0,K69+1,K69),K69)</f>
        <v>26</v>
      </c>
      <c r="L70" s="21">
        <v>67</v>
      </c>
      <c r="M70" s="19" t="s">
        <v>132</v>
      </c>
      <c r="N70" s="9" t="s">
        <v>131</v>
      </c>
    </row>
    <row r="71" spans="1:14" x14ac:dyDescent="0.2">
      <c r="A71" s="1">
        <v>43557</v>
      </c>
      <c r="B71" s="49" t="s">
        <v>248</v>
      </c>
      <c r="C71" s="37" t="s">
        <v>280</v>
      </c>
      <c r="D71" s="2">
        <v>20</v>
      </c>
      <c r="E71" s="2">
        <v>1</v>
      </c>
      <c r="F71" s="13">
        <v>800000</v>
      </c>
      <c r="G71" s="13"/>
      <c r="H71" s="2" t="s">
        <v>2</v>
      </c>
      <c r="I71" s="2" t="s">
        <v>30</v>
      </c>
      <c r="J71" s="2" t="s">
        <v>30</v>
      </c>
      <c r="K71" s="2">
        <f t="shared" si="1"/>
        <v>27</v>
      </c>
      <c r="L71" s="21">
        <v>68</v>
      </c>
      <c r="M71" s="19" t="s">
        <v>134</v>
      </c>
      <c r="N71" s="9" t="s">
        <v>133</v>
      </c>
    </row>
    <row r="72" spans="1:14" x14ac:dyDescent="0.2">
      <c r="A72" s="1">
        <v>43557</v>
      </c>
      <c r="B72" s="49" t="s">
        <v>248</v>
      </c>
      <c r="C72" s="37" t="s">
        <v>280</v>
      </c>
      <c r="D72" s="2">
        <v>38</v>
      </c>
      <c r="E72" s="2">
        <v>1</v>
      </c>
      <c r="F72" s="13">
        <v>88000</v>
      </c>
      <c r="G72" s="13"/>
      <c r="H72" s="2" t="s">
        <v>2</v>
      </c>
      <c r="I72" s="2" t="s">
        <v>48</v>
      </c>
      <c r="J72" s="2" t="s">
        <v>222</v>
      </c>
      <c r="K72" s="2">
        <f t="shared" si="1"/>
        <v>27</v>
      </c>
      <c r="L72" s="21">
        <v>69</v>
      </c>
      <c r="M72" s="19" t="s">
        <v>236</v>
      </c>
      <c r="N72" s="9" t="s">
        <v>233</v>
      </c>
    </row>
    <row r="73" spans="1:14" x14ac:dyDescent="0.2">
      <c r="A73" s="1">
        <v>43557</v>
      </c>
      <c r="B73" s="49" t="s">
        <v>248</v>
      </c>
      <c r="C73" s="37" t="s">
        <v>280</v>
      </c>
      <c r="D73" s="2">
        <v>1</v>
      </c>
      <c r="E73" s="2">
        <v>2</v>
      </c>
      <c r="F73" s="13"/>
      <c r="G73" s="13">
        <v>888000</v>
      </c>
      <c r="H73" s="2" t="s">
        <v>3</v>
      </c>
      <c r="I73" s="2" t="s">
        <v>4</v>
      </c>
      <c r="J73" s="2" t="s">
        <v>5</v>
      </c>
      <c r="K73" s="2">
        <f t="shared" si="1"/>
        <v>27</v>
      </c>
      <c r="L73" s="21">
        <v>70</v>
      </c>
      <c r="M73" s="19" t="s">
        <v>237</v>
      </c>
      <c r="N73" s="9" t="s">
        <v>234</v>
      </c>
    </row>
    <row r="74" spans="1:14" ht="15" thickBot="1" x14ac:dyDescent="0.25">
      <c r="A74" s="1">
        <v>43557</v>
      </c>
      <c r="B74" s="49" t="s">
        <v>248</v>
      </c>
      <c r="C74" s="37" t="s">
        <v>280</v>
      </c>
      <c r="D74" s="2">
        <v>20</v>
      </c>
      <c r="E74" s="2">
        <v>1</v>
      </c>
      <c r="F74" s="13">
        <v>400000</v>
      </c>
      <c r="G74" s="13"/>
      <c r="H74" s="2" t="s">
        <v>2</v>
      </c>
      <c r="I74" s="2" t="s">
        <v>30</v>
      </c>
      <c r="J74" s="2" t="s">
        <v>30</v>
      </c>
      <c r="K74" s="2">
        <f t="shared" si="1"/>
        <v>28</v>
      </c>
      <c r="L74" s="21">
        <v>71</v>
      </c>
      <c r="M74" s="19" t="s">
        <v>238</v>
      </c>
      <c r="N74" s="9" t="s">
        <v>235</v>
      </c>
    </row>
    <row r="75" spans="1:14" x14ac:dyDescent="0.2">
      <c r="A75" s="1">
        <v>43557</v>
      </c>
      <c r="B75" s="49" t="s">
        <v>248</v>
      </c>
      <c r="C75" s="37" t="s">
        <v>280</v>
      </c>
      <c r="D75" s="2">
        <v>38</v>
      </c>
      <c r="E75" s="2">
        <v>1</v>
      </c>
      <c r="F75" s="13">
        <v>44000</v>
      </c>
      <c r="G75" s="13"/>
      <c r="H75" s="2" t="s">
        <v>2</v>
      </c>
      <c r="I75" s="2" t="s">
        <v>48</v>
      </c>
      <c r="J75" s="2" t="s">
        <v>222</v>
      </c>
      <c r="K75" s="2">
        <f t="shared" si="1"/>
        <v>28</v>
      </c>
      <c r="L75" s="22">
        <v>72</v>
      </c>
      <c r="M75" s="23" t="s">
        <v>136</v>
      </c>
      <c r="N75" s="9" t="s">
        <v>135</v>
      </c>
    </row>
    <row r="76" spans="1:14" ht="15" thickBot="1" x14ac:dyDescent="0.25">
      <c r="A76" s="1">
        <v>43557</v>
      </c>
      <c r="B76" s="49" t="s">
        <v>248</v>
      </c>
      <c r="C76" s="37" t="s">
        <v>280</v>
      </c>
      <c r="D76" s="2">
        <v>1</v>
      </c>
      <c r="E76" s="2">
        <v>2</v>
      </c>
      <c r="F76" s="13"/>
      <c r="G76" s="13">
        <v>444000</v>
      </c>
      <c r="H76" s="2" t="s">
        <v>3</v>
      </c>
      <c r="I76" s="2" t="s">
        <v>4</v>
      </c>
      <c r="J76" s="2" t="s">
        <v>5</v>
      </c>
      <c r="K76" s="2">
        <f t="shared" si="1"/>
        <v>28</v>
      </c>
      <c r="L76" s="24">
        <v>73</v>
      </c>
      <c r="M76" s="25" t="s">
        <v>138</v>
      </c>
      <c r="N76" s="9" t="s">
        <v>137</v>
      </c>
    </row>
    <row r="77" spans="1:14" x14ac:dyDescent="0.2">
      <c r="A77" s="1">
        <v>43557</v>
      </c>
      <c r="B77" s="49" t="s">
        <v>248</v>
      </c>
      <c r="C77" s="37" t="s">
        <v>281</v>
      </c>
      <c r="D77" s="2">
        <v>19</v>
      </c>
      <c r="E77" s="2">
        <v>1</v>
      </c>
      <c r="F77" s="13">
        <v>1200000</v>
      </c>
      <c r="G77" s="13"/>
      <c r="H77" s="2" t="s">
        <v>2</v>
      </c>
      <c r="I77" s="2" t="s">
        <v>29</v>
      </c>
      <c r="J77" s="2" t="s">
        <v>29</v>
      </c>
      <c r="K77" s="2">
        <f t="shared" si="1"/>
        <v>29</v>
      </c>
    </row>
    <row r="78" spans="1:14" x14ac:dyDescent="0.2">
      <c r="A78" s="1">
        <v>43557</v>
      </c>
      <c r="B78" s="49" t="s">
        <v>248</v>
      </c>
      <c r="C78" s="37" t="s">
        <v>281</v>
      </c>
      <c r="D78" s="2">
        <v>20</v>
      </c>
      <c r="E78" s="2">
        <v>1</v>
      </c>
      <c r="F78" s="13"/>
      <c r="G78" s="13">
        <v>1200000</v>
      </c>
      <c r="H78" s="2" t="s">
        <v>3</v>
      </c>
      <c r="I78" s="2" t="s">
        <v>30</v>
      </c>
      <c r="J78" s="2" t="s">
        <v>30</v>
      </c>
      <c r="K78" s="2">
        <f t="shared" si="1"/>
        <v>29</v>
      </c>
    </row>
    <row r="79" spans="1:14" x14ac:dyDescent="0.2">
      <c r="A79" s="1">
        <v>43557</v>
      </c>
      <c r="B79" s="49" t="s">
        <v>248</v>
      </c>
      <c r="C79" s="37" t="s">
        <v>282</v>
      </c>
      <c r="D79" s="2">
        <v>23</v>
      </c>
      <c r="E79" s="2">
        <v>1</v>
      </c>
      <c r="F79" s="13">
        <v>1650000</v>
      </c>
      <c r="G79" s="13"/>
      <c r="H79" s="2" t="s">
        <v>2</v>
      </c>
      <c r="I79" s="2" t="s">
        <v>33</v>
      </c>
      <c r="J79" s="2" t="s">
        <v>33</v>
      </c>
      <c r="K79" s="2">
        <f t="shared" si="1"/>
        <v>30</v>
      </c>
    </row>
    <row r="80" spans="1:14" x14ac:dyDescent="0.2">
      <c r="A80" s="1">
        <v>43557</v>
      </c>
      <c r="B80" s="49" t="s">
        <v>248</v>
      </c>
      <c r="C80" s="37" t="s">
        <v>282</v>
      </c>
      <c r="D80" s="2">
        <v>1</v>
      </c>
      <c r="E80" s="2">
        <v>2</v>
      </c>
      <c r="F80" s="13"/>
      <c r="G80" s="13">
        <v>1650000</v>
      </c>
      <c r="H80" s="2" t="s">
        <v>3</v>
      </c>
      <c r="I80" s="2" t="s">
        <v>4</v>
      </c>
      <c r="J80" s="2" t="s">
        <v>5</v>
      </c>
      <c r="K80" s="2">
        <f t="shared" si="1"/>
        <v>30</v>
      </c>
    </row>
    <row r="81" spans="1:11" x14ac:dyDescent="0.2">
      <c r="A81" s="1">
        <v>43557</v>
      </c>
      <c r="B81" s="49" t="s">
        <v>248</v>
      </c>
      <c r="C81" s="37" t="s">
        <v>324</v>
      </c>
      <c r="D81" s="2">
        <v>23</v>
      </c>
      <c r="E81" s="2">
        <v>2</v>
      </c>
      <c r="F81" s="13">
        <v>20000000</v>
      </c>
      <c r="G81" s="13"/>
      <c r="H81" s="2" t="s">
        <v>2</v>
      </c>
      <c r="I81" s="2" t="s">
        <v>33</v>
      </c>
      <c r="J81" s="2" t="s">
        <v>225</v>
      </c>
      <c r="K81" s="2">
        <f t="shared" si="1"/>
        <v>31</v>
      </c>
    </row>
    <row r="82" spans="1:11" x14ac:dyDescent="0.2">
      <c r="A82" s="1">
        <v>43557</v>
      </c>
      <c r="B82" s="49" t="s">
        <v>248</v>
      </c>
      <c r="C82" s="37" t="s">
        <v>324</v>
      </c>
      <c r="D82" s="2">
        <v>23</v>
      </c>
      <c r="E82" s="2">
        <v>3</v>
      </c>
      <c r="F82" s="13">
        <v>18000000</v>
      </c>
      <c r="G82" s="13"/>
      <c r="H82" s="2" t="s">
        <v>2</v>
      </c>
      <c r="I82" s="2" t="s">
        <v>33</v>
      </c>
      <c r="J82" s="2" t="s">
        <v>226</v>
      </c>
      <c r="K82" s="2">
        <f t="shared" si="1"/>
        <v>31</v>
      </c>
    </row>
    <row r="83" spans="1:11" x14ac:dyDescent="0.2">
      <c r="A83" s="1">
        <v>43557</v>
      </c>
      <c r="B83" s="49" t="s">
        <v>248</v>
      </c>
      <c r="C83" s="37" t="s">
        <v>324</v>
      </c>
      <c r="D83" s="2">
        <v>7</v>
      </c>
      <c r="E83" s="2">
        <v>1</v>
      </c>
      <c r="F83" s="13"/>
      <c r="G83" s="13">
        <v>15000000</v>
      </c>
      <c r="H83" s="2" t="s">
        <v>3</v>
      </c>
      <c r="I83" s="2" t="s">
        <v>17</v>
      </c>
      <c r="J83" s="2" t="s">
        <v>70</v>
      </c>
      <c r="K83" s="2">
        <f t="shared" si="1"/>
        <v>31</v>
      </c>
    </row>
    <row r="84" spans="1:11" x14ac:dyDescent="0.2">
      <c r="A84" s="1">
        <v>43557</v>
      </c>
      <c r="B84" s="49" t="s">
        <v>248</v>
      </c>
      <c r="C84" s="37" t="s">
        <v>324</v>
      </c>
      <c r="D84" s="2">
        <v>1</v>
      </c>
      <c r="E84" s="2">
        <v>2</v>
      </c>
      <c r="F84" s="13"/>
      <c r="G84" s="13">
        <v>17000000</v>
      </c>
      <c r="H84" s="2" t="s">
        <v>3</v>
      </c>
      <c r="I84" s="2" t="s">
        <v>4</v>
      </c>
      <c r="J84" s="2" t="s">
        <v>5</v>
      </c>
      <c r="K84" s="2">
        <f t="shared" si="1"/>
        <v>31</v>
      </c>
    </row>
    <row r="85" spans="1:11" x14ac:dyDescent="0.2">
      <c r="A85" s="1">
        <v>43557</v>
      </c>
      <c r="B85" s="49" t="s">
        <v>248</v>
      </c>
      <c r="C85" s="37" t="s">
        <v>324</v>
      </c>
      <c r="D85" s="2">
        <v>37</v>
      </c>
      <c r="E85" s="2">
        <v>1</v>
      </c>
      <c r="F85" s="13"/>
      <c r="G85" s="13">
        <v>6000000</v>
      </c>
      <c r="H85" s="2" t="s">
        <v>3</v>
      </c>
      <c r="I85" s="2" t="s">
        <v>47</v>
      </c>
      <c r="J85" s="2" t="s">
        <v>47</v>
      </c>
      <c r="K85" s="2">
        <f t="shared" si="1"/>
        <v>31</v>
      </c>
    </row>
    <row r="86" spans="1:11" x14ac:dyDescent="0.2">
      <c r="A86" s="1">
        <v>43557</v>
      </c>
      <c r="B86" s="49" t="s">
        <v>248</v>
      </c>
      <c r="C86" s="37" t="s">
        <v>325</v>
      </c>
      <c r="D86" s="2">
        <v>23</v>
      </c>
      <c r="E86" s="2">
        <v>1</v>
      </c>
      <c r="F86" s="13">
        <v>20000000</v>
      </c>
      <c r="G86" s="13"/>
      <c r="H86" s="2" t="s">
        <v>2</v>
      </c>
      <c r="I86" s="2" t="s">
        <v>33</v>
      </c>
      <c r="J86" s="2" t="s">
        <v>33</v>
      </c>
      <c r="K86" s="2">
        <f t="shared" si="1"/>
        <v>32</v>
      </c>
    </row>
    <row r="87" spans="1:11" x14ac:dyDescent="0.2">
      <c r="A87" s="1">
        <v>43557</v>
      </c>
      <c r="B87" s="49" t="s">
        <v>248</v>
      </c>
      <c r="C87" s="37" t="s">
        <v>325</v>
      </c>
      <c r="D87" s="2">
        <v>23</v>
      </c>
      <c r="E87" s="2">
        <v>2</v>
      </c>
      <c r="F87" s="13"/>
      <c r="G87" s="13">
        <v>20000000</v>
      </c>
      <c r="H87" s="2" t="s">
        <v>3</v>
      </c>
      <c r="I87" s="2" t="s">
        <v>33</v>
      </c>
      <c r="J87" s="2" t="s">
        <v>225</v>
      </c>
      <c r="K87" s="2">
        <f t="shared" si="1"/>
        <v>32</v>
      </c>
    </row>
    <row r="88" spans="1:11" x14ac:dyDescent="0.2">
      <c r="A88" s="1">
        <v>43557</v>
      </c>
      <c r="B88" s="49" t="s">
        <v>248</v>
      </c>
      <c r="C88" s="37" t="s">
        <v>326</v>
      </c>
      <c r="D88" s="2">
        <v>65</v>
      </c>
      <c r="E88" s="2">
        <v>1</v>
      </c>
      <c r="F88" s="13">
        <v>18000000</v>
      </c>
      <c r="G88" s="13"/>
      <c r="H88" s="2" t="s">
        <v>2</v>
      </c>
      <c r="I88" s="2" t="s">
        <v>229</v>
      </c>
      <c r="J88" s="2" t="s">
        <v>229</v>
      </c>
      <c r="K88" s="2">
        <f t="shared" si="1"/>
        <v>33</v>
      </c>
    </row>
    <row r="89" spans="1:11" x14ac:dyDescent="0.2">
      <c r="A89" s="1">
        <v>43557</v>
      </c>
      <c r="B89" s="49" t="s">
        <v>248</v>
      </c>
      <c r="C89" s="37" t="s">
        <v>326</v>
      </c>
      <c r="D89" s="2">
        <v>23</v>
      </c>
      <c r="E89" s="2">
        <v>3</v>
      </c>
      <c r="F89" s="13"/>
      <c r="G89" s="13">
        <v>18000000</v>
      </c>
      <c r="H89" s="2" t="s">
        <v>3</v>
      </c>
      <c r="I89" s="2" t="s">
        <v>33</v>
      </c>
      <c r="J89" s="2" t="s">
        <v>226</v>
      </c>
      <c r="K89" s="2">
        <f t="shared" si="1"/>
        <v>33</v>
      </c>
    </row>
    <row r="90" spans="1:11" x14ac:dyDescent="0.2">
      <c r="A90" s="1">
        <v>43557</v>
      </c>
      <c r="B90" s="49" t="s">
        <v>248</v>
      </c>
      <c r="C90" s="37" t="s">
        <v>293</v>
      </c>
      <c r="D90" s="2">
        <v>23</v>
      </c>
      <c r="E90" s="2">
        <v>1</v>
      </c>
      <c r="F90" s="13">
        <v>5000000</v>
      </c>
      <c r="G90" s="13"/>
      <c r="H90" s="2" t="s">
        <v>2</v>
      </c>
      <c r="I90" s="2" t="s">
        <v>33</v>
      </c>
      <c r="J90" s="2" t="s">
        <v>33</v>
      </c>
      <c r="K90" s="2">
        <f t="shared" si="1"/>
        <v>34</v>
      </c>
    </row>
    <row r="91" spans="1:11" x14ac:dyDescent="0.2">
      <c r="A91" s="1">
        <v>43557</v>
      </c>
      <c r="B91" s="49" t="s">
        <v>248</v>
      </c>
      <c r="C91" s="37" t="s">
        <v>293</v>
      </c>
      <c r="D91" s="2">
        <v>50</v>
      </c>
      <c r="E91" s="2">
        <v>1</v>
      </c>
      <c r="F91" s="13"/>
      <c r="G91" s="13">
        <v>5000000</v>
      </c>
      <c r="H91" s="2" t="s">
        <v>3</v>
      </c>
      <c r="I91" s="2" t="s">
        <v>60</v>
      </c>
      <c r="J91" s="2" t="s">
        <v>60</v>
      </c>
      <c r="K91" s="2">
        <f t="shared" si="1"/>
        <v>34</v>
      </c>
    </row>
    <row r="92" spans="1:11" x14ac:dyDescent="0.2">
      <c r="A92" s="1">
        <v>43557</v>
      </c>
      <c r="B92" s="49" t="s">
        <v>248</v>
      </c>
      <c r="C92" s="37" t="s">
        <v>327</v>
      </c>
      <c r="D92" s="2">
        <v>1</v>
      </c>
      <c r="E92" s="2">
        <v>3</v>
      </c>
      <c r="F92" s="14">
        <v>1000000</v>
      </c>
      <c r="H92" s="2" t="s">
        <v>2</v>
      </c>
      <c r="I92" s="2" t="s">
        <v>4</v>
      </c>
      <c r="J92" s="2" t="s">
        <v>65</v>
      </c>
      <c r="K92" s="2">
        <f t="shared" si="1"/>
        <v>35</v>
      </c>
    </row>
    <row r="93" spans="1:11" x14ac:dyDescent="0.2">
      <c r="A93" s="1">
        <v>43557</v>
      </c>
      <c r="B93" s="49" t="s">
        <v>248</v>
      </c>
      <c r="C93" s="37" t="s">
        <v>327</v>
      </c>
      <c r="D93" s="2">
        <v>1</v>
      </c>
      <c r="E93" s="2">
        <v>2</v>
      </c>
      <c r="G93" s="14">
        <v>1000000</v>
      </c>
      <c r="H93" s="2" t="s">
        <v>3</v>
      </c>
      <c r="I93" s="2" t="s">
        <v>4</v>
      </c>
      <c r="J93" s="2" t="s">
        <v>5</v>
      </c>
      <c r="K93" s="2">
        <f t="shared" si="1"/>
        <v>35</v>
      </c>
    </row>
    <row r="94" spans="1:11" x14ac:dyDescent="0.2">
      <c r="A94" s="1">
        <v>43557</v>
      </c>
      <c r="B94" s="49" t="s">
        <v>248</v>
      </c>
      <c r="C94" s="37" t="s">
        <v>294</v>
      </c>
      <c r="D94" s="2">
        <v>12</v>
      </c>
      <c r="E94" s="2">
        <v>1</v>
      </c>
      <c r="F94" s="14">
        <v>1150000</v>
      </c>
      <c r="H94" s="2" t="s">
        <v>2</v>
      </c>
      <c r="I94" s="2" t="s">
        <v>22</v>
      </c>
      <c r="J94" s="2" t="s">
        <v>22</v>
      </c>
      <c r="K94" s="2">
        <f t="shared" si="1"/>
        <v>36</v>
      </c>
    </row>
    <row r="95" spans="1:11" x14ac:dyDescent="0.2">
      <c r="A95" s="1">
        <v>43557</v>
      </c>
      <c r="B95" s="49" t="s">
        <v>248</v>
      </c>
      <c r="C95" s="37" t="s">
        <v>295</v>
      </c>
      <c r="D95" s="2">
        <v>1</v>
      </c>
      <c r="E95" s="2">
        <v>3</v>
      </c>
      <c r="G95" s="14">
        <v>1000000</v>
      </c>
      <c r="H95" s="2" t="s">
        <v>3</v>
      </c>
      <c r="I95" s="2" t="s">
        <v>4</v>
      </c>
      <c r="J95" s="2" t="s">
        <v>65</v>
      </c>
      <c r="K95" s="2">
        <f t="shared" si="1"/>
        <v>36</v>
      </c>
    </row>
    <row r="96" spans="1:11" x14ac:dyDescent="0.2">
      <c r="A96" s="1">
        <v>43557</v>
      </c>
      <c r="B96" s="49" t="s">
        <v>248</v>
      </c>
      <c r="C96" s="37" t="s">
        <v>296</v>
      </c>
      <c r="D96" s="2">
        <v>12</v>
      </c>
      <c r="E96" s="2">
        <v>2</v>
      </c>
      <c r="G96" s="14">
        <v>150000</v>
      </c>
      <c r="H96" s="2" t="s">
        <v>3</v>
      </c>
      <c r="I96" s="2" t="s">
        <v>22</v>
      </c>
      <c r="J96" s="2" t="s">
        <v>288</v>
      </c>
      <c r="K96" s="2">
        <f t="shared" si="1"/>
        <v>36</v>
      </c>
    </row>
    <row r="97" spans="1:11" x14ac:dyDescent="0.2">
      <c r="A97" s="1">
        <v>43557</v>
      </c>
      <c r="B97" s="62" t="s">
        <v>249</v>
      </c>
      <c r="C97" s="37" t="s">
        <v>297</v>
      </c>
      <c r="D97" s="2">
        <v>6</v>
      </c>
      <c r="E97" s="2">
        <v>3</v>
      </c>
      <c r="F97" s="14">
        <v>69000</v>
      </c>
      <c r="H97" s="2" t="s">
        <v>2</v>
      </c>
      <c r="I97" s="2" t="s">
        <v>16</v>
      </c>
      <c r="J97" s="2" t="s">
        <v>289</v>
      </c>
      <c r="K97" s="2">
        <f t="shared" si="1"/>
        <v>37</v>
      </c>
    </row>
    <row r="98" spans="1:11" x14ac:dyDescent="0.2">
      <c r="A98" s="1">
        <v>43557</v>
      </c>
      <c r="B98" s="62" t="s">
        <v>249</v>
      </c>
      <c r="C98" s="37" t="s">
        <v>311</v>
      </c>
      <c r="D98" s="2">
        <v>12</v>
      </c>
      <c r="E98" s="2">
        <v>2</v>
      </c>
      <c r="F98" s="14">
        <v>31000</v>
      </c>
      <c r="H98" s="2" t="s">
        <v>2</v>
      </c>
      <c r="I98" s="2" t="s">
        <v>22</v>
      </c>
      <c r="J98" s="2" t="s">
        <v>288</v>
      </c>
      <c r="K98" s="2">
        <f t="shared" si="1"/>
        <v>37</v>
      </c>
    </row>
    <row r="99" spans="1:11" x14ac:dyDescent="0.2">
      <c r="A99" s="1">
        <v>43557</v>
      </c>
      <c r="B99" s="62" t="s">
        <v>249</v>
      </c>
      <c r="C99" s="37" t="s">
        <v>298</v>
      </c>
      <c r="D99" s="2">
        <v>68</v>
      </c>
      <c r="E99" s="2">
        <v>1</v>
      </c>
      <c r="G99" s="14">
        <v>100000</v>
      </c>
      <c r="H99" s="2" t="s">
        <v>3</v>
      </c>
      <c r="I99" s="2" t="s">
        <v>134</v>
      </c>
      <c r="J99" s="2" t="s">
        <v>134</v>
      </c>
      <c r="K99" s="2">
        <f t="shared" si="1"/>
        <v>37</v>
      </c>
    </row>
    <row r="100" spans="1:11" x14ac:dyDescent="0.2">
      <c r="A100" s="1">
        <v>43557</v>
      </c>
      <c r="B100" s="62" t="s">
        <v>249</v>
      </c>
      <c r="C100" s="37" t="s">
        <v>299</v>
      </c>
      <c r="D100" s="2">
        <v>1</v>
      </c>
      <c r="E100" s="2">
        <v>3</v>
      </c>
      <c r="F100" s="13">
        <v>69000</v>
      </c>
      <c r="G100" s="13"/>
      <c r="H100" s="2" t="s">
        <v>2</v>
      </c>
      <c r="I100" s="2" t="s">
        <v>4</v>
      </c>
      <c r="J100" s="2" t="s">
        <v>65</v>
      </c>
      <c r="K100" s="2">
        <f t="shared" si="1"/>
        <v>38</v>
      </c>
    </row>
    <row r="101" spans="1:11" x14ac:dyDescent="0.2">
      <c r="A101" s="1">
        <v>43557</v>
      </c>
      <c r="B101" s="62" t="s">
        <v>249</v>
      </c>
      <c r="C101" s="37" t="s">
        <v>299</v>
      </c>
      <c r="D101" s="2">
        <v>6</v>
      </c>
      <c r="E101" s="2">
        <v>3</v>
      </c>
      <c r="F101" s="13"/>
      <c r="G101" s="13">
        <v>69000</v>
      </c>
      <c r="H101" s="2" t="s">
        <v>3</v>
      </c>
      <c r="I101" s="2" t="s">
        <v>16</v>
      </c>
      <c r="J101" s="2" t="s">
        <v>289</v>
      </c>
      <c r="K101" s="2">
        <f t="shared" si="1"/>
        <v>38</v>
      </c>
    </row>
    <row r="102" spans="1:11" x14ac:dyDescent="0.2">
      <c r="A102" s="1">
        <v>43557</v>
      </c>
      <c r="B102" s="60" t="s">
        <v>250</v>
      </c>
      <c r="C102" s="37" t="s">
        <v>300</v>
      </c>
      <c r="D102" s="2">
        <v>1</v>
      </c>
      <c r="E102" s="2">
        <v>3</v>
      </c>
      <c r="F102" s="13">
        <v>1150000</v>
      </c>
      <c r="G102" s="13"/>
      <c r="H102" s="2" t="s">
        <v>2</v>
      </c>
      <c r="I102" s="2" t="s">
        <v>4</v>
      </c>
      <c r="J102" s="2" t="s">
        <v>65</v>
      </c>
      <c r="K102" s="2">
        <f t="shared" si="1"/>
        <v>39</v>
      </c>
    </row>
    <row r="103" spans="1:11" x14ac:dyDescent="0.2">
      <c r="A103" s="1">
        <v>43557</v>
      </c>
      <c r="B103" s="61" t="s">
        <v>343</v>
      </c>
      <c r="C103" s="37" t="s">
        <v>300</v>
      </c>
      <c r="D103" s="2">
        <v>12</v>
      </c>
      <c r="E103" s="2">
        <v>1</v>
      </c>
      <c r="F103" s="13"/>
      <c r="G103" s="13">
        <v>1150000</v>
      </c>
      <c r="H103" s="2" t="s">
        <v>3</v>
      </c>
      <c r="I103" s="2" t="s">
        <v>22</v>
      </c>
      <c r="J103" s="2" t="s">
        <v>22</v>
      </c>
      <c r="K103" s="2">
        <f t="shared" si="1"/>
        <v>39</v>
      </c>
    </row>
    <row r="104" spans="1:11" x14ac:dyDescent="0.2">
      <c r="A104" s="1">
        <v>43557</v>
      </c>
      <c r="B104" s="49" t="s">
        <v>248</v>
      </c>
      <c r="C104" s="37" t="s">
        <v>328</v>
      </c>
      <c r="D104" s="2">
        <v>1</v>
      </c>
      <c r="E104" s="2">
        <v>3</v>
      </c>
      <c r="F104" s="14">
        <v>1028244</v>
      </c>
      <c r="H104" s="2" t="s">
        <v>2</v>
      </c>
      <c r="I104" s="2" t="s">
        <v>4</v>
      </c>
      <c r="J104" s="2" t="s">
        <v>65</v>
      </c>
      <c r="K104" s="2">
        <f t="shared" si="1"/>
        <v>40</v>
      </c>
    </row>
    <row r="105" spans="1:11" x14ac:dyDescent="0.2">
      <c r="A105" s="1">
        <v>43557</v>
      </c>
      <c r="B105" s="49" t="s">
        <v>248</v>
      </c>
      <c r="C105" s="37" t="s">
        <v>328</v>
      </c>
      <c r="D105" s="2">
        <v>1</v>
      </c>
      <c r="E105" s="2">
        <v>2</v>
      </c>
      <c r="G105" s="14">
        <v>1028244</v>
      </c>
      <c r="H105" s="2" t="s">
        <v>3</v>
      </c>
      <c r="I105" s="2" t="s">
        <v>4</v>
      </c>
      <c r="J105" s="2" t="s">
        <v>5</v>
      </c>
      <c r="K105" s="2">
        <f t="shared" si="1"/>
        <v>40</v>
      </c>
    </row>
    <row r="106" spans="1:11" x14ac:dyDescent="0.2">
      <c r="A106" s="1">
        <v>43557</v>
      </c>
      <c r="B106" s="49" t="s">
        <v>248</v>
      </c>
      <c r="C106" s="37" t="s">
        <v>301</v>
      </c>
      <c r="D106" s="2">
        <v>13</v>
      </c>
      <c r="E106" s="2">
        <v>1</v>
      </c>
      <c r="F106" s="14">
        <v>1000000</v>
      </c>
      <c r="H106" s="2" t="s">
        <v>2</v>
      </c>
      <c r="I106" s="2" t="s">
        <v>23</v>
      </c>
      <c r="J106" s="2" t="s">
        <v>23</v>
      </c>
      <c r="K106" s="2">
        <f t="shared" si="1"/>
        <v>41</v>
      </c>
    </row>
    <row r="107" spans="1:11" x14ac:dyDescent="0.2">
      <c r="A107" s="1">
        <v>43557</v>
      </c>
      <c r="B107" s="49" t="s">
        <v>248</v>
      </c>
      <c r="C107" s="37" t="s">
        <v>303</v>
      </c>
      <c r="D107" s="2">
        <v>13</v>
      </c>
      <c r="E107" s="2">
        <v>2</v>
      </c>
      <c r="F107" s="14">
        <v>28244</v>
      </c>
      <c r="H107" s="2" t="s">
        <v>2</v>
      </c>
      <c r="I107" s="2" t="s">
        <v>23</v>
      </c>
      <c r="J107" s="2" t="s">
        <v>288</v>
      </c>
      <c r="K107" s="2">
        <f t="shared" si="1"/>
        <v>41</v>
      </c>
    </row>
    <row r="108" spans="1:11" x14ac:dyDescent="0.2">
      <c r="A108" s="1">
        <v>43557</v>
      </c>
      <c r="B108" s="49" t="s">
        <v>248</v>
      </c>
      <c r="C108" s="37" t="s">
        <v>302</v>
      </c>
      <c r="D108" s="2">
        <v>1</v>
      </c>
      <c r="E108" s="2">
        <v>3</v>
      </c>
      <c r="G108" s="14">
        <v>1028244</v>
      </c>
      <c r="H108" s="2" t="s">
        <v>3</v>
      </c>
      <c r="I108" s="2" t="s">
        <v>4</v>
      </c>
      <c r="J108" s="2" t="s">
        <v>65</v>
      </c>
      <c r="K108" s="2">
        <f t="shared" si="1"/>
        <v>41</v>
      </c>
    </row>
    <row r="109" spans="1:11" x14ac:dyDescent="0.2">
      <c r="A109" s="1">
        <v>43557</v>
      </c>
      <c r="B109" s="62" t="s">
        <v>249</v>
      </c>
      <c r="C109" s="37" t="s">
        <v>304</v>
      </c>
      <c r="D109" s="2">
        <v>6</v>
      </c>
      <c r="E109" s="2">
        <v>3</v>
      </c>
      <c r="F109" s="14">
        <v>40000</v>
      </c>
      <c r="H109" s="2" t="s">
        <v>2</v>
      </c>
      <c r="I109" s="2" t="s">
        <v>16</v>
      </c>
      <c r="J109" s="2" t="s">
        <v>289</v>
      </c>
      <c r="K109" s="2">
        <f t="shared" si="1"/>
        <v>42</v>
      </c>
    </row>
    <row r="110" spans="1:11" x14ac:dyDescent="0.2">
      <c r="A110" s="1">
        <v>43557</v>
      </c>
      <c r="B110" s="62" t="s">
        <v>249</v>
      </c>
      <c r="C110" s="37" t="s">
        <v>310</v>
      </c>
      <c r="D110" s="2">
        <v>12</v>
      </c>
      <c r="E110" s="2">
        <v>2</v>
      </c>
      <c r="G110" s="14">
        <v>9153</v>
      </c>
      <c r="H110" s="2" t="s">
        <v>3</v>
      </c>
      <c r="I110" s="2" t="s">
        <v>22</v>
      </c>
      <c r="J110" s="2" t="s">
        <v>288</v>
      </c>
      <c r="K110" s="2">
        <f t="shared" si="1"/>
        <v>42</v>
      </c>
    </row>
    <row r="111" spans="1:11" x14ac:dyDescent="0.2">
      <c r="A111" s="1">
        <v>43557</v>
      </c>
      <c r="B111" s="62" t="s">
        <v>249</v>
      </c>
      <c r="C111" s="37" t="s">
        <v>305</v>
      </c>
      <c r="D111" s="2">
        <v>68</v>
      </c>
      <c r="E111" s="2">
        <v>1</v>
      </c>
      <c r="G111" s="14">
        <v>30847</v>
      </c>
      <c r="H111" s="2" t="s">
        <v>3</v>
      </c>
      <c r="I111" s="2" t="s">
        <v>134</v>
      </c>
      <c r="J111" s="2" t="s">
        <v>134</v>
      </c>
      <c r="K111" s="2">
        <f t="shared" si="1"/>
        <v>42</v>
      </c>
    </row>
    <row r="112" spans="1:11" x14ac:dyDescent="0.2">
      <c r="A112" s="1">
        <v>43557</v>
      </c>
      <c r="B112" s="62" t="s">
        <v>249</v>
      </c>
      <c r="C112" s="37" t="s">
        <v>306</v>
      </c>
      <c r="D112" s="2">
        <v>1</v>
      </c>
      <c r="E112" s="2">
        <v>3</v>
      </c>
      <c r="F112" s="13">
        <v>40000</v>
      </c>
      <c r="G112" s="13"/>
      <c r="H112" s="2" t="s">
        <v>2</v>
      </c>
      <c r="I112" s="2" t="s">
        <v>4</v>
      </c>
      <c r="J112" s="2" t="s">
        <v>65</v>
      </c>
      <c r="K112" s="2">
        <f t="shared" si="1"/>
        <v>43</v>
      </c>
    </row>
    <row r="113" spans="1:11" x14ac:dyDescent="0.2">
      <c r="A113" s="1">
        <v>43557</v>
      </c>
      <c r="B113" s="62" t="s">
        <v>249</v>
      </c>
      <c r="C113" s="37" t="s">
        <v>306</v>
      </c>
      <c r="D113" s="2">
        <v>6</v>
      </c>
      <c r="E113" s="2">
        <v>3</v>
      </c>
      <c r="F113" s="13"/>
      <c r="G113" s="13">
        <v>40000</v>
      </c>
      <c r="H113" s="2" t="s">
        <v>3</v>
      </c>
      <c r="I113" s="2" t="s">
        <v>16</v>
      </c>
      <c r="J113" s="2" t="s">
        <v>289</v>
      </c>
      <c r="K113" s="2">
        <f t="shared" si="1"/>
        <v>43</v>
      </c>
    </row>
    <row r="114" spans="1:11" x14ac:dyDescent="0.2">
      <c r="A114" s="1">
        <v>43557</v>
      </c>
      <c r="B114" s="62" t="s">
        <v>249</v>
      </c>
      <c r="C114" s="37" t="s">
        <v>307</v>
      </c>
      <c r="D114" s="2">
        <v>53</v>
      </c>
      <c r="E114" s="2">
        <v>1</v>
      </c>
      <c r="F114" s="13">
        <v>18991</v>
      </c>
      <c r="G114" s="13"/>
      <c r="H114" s="2" t="s">
        <v>2</v>
      </c>
      <c r="I114" s="2" t="s">
        <v>62</v>
      </c>
      <c r="J114" s="2" t="s">
        <v>62</v>
      </c>
      <c r="K114" s="2">
        <f t="shared" si="1"/>
        <v>44</v>
      </c>
    </row>
    <row r="115" spans="1:11" x14ac:dyDescent="0.2">
      <c r="A115" s="1">
        <v>43557</v>
      </c>
      <c r="B115" s="62" t="s">
        <v>249</v>
      </c>
      <c r="C115" s="37" t="s">
        <v>307</v>
      </c>
      <c r="D115" s="2">
        <v>13</v>
      </c>
      <c r="E115" s="2">
        <v>3</v>
      </c>
      <c r="F115" s="13"/>
      <c r="G115" s="13">
        <v>18991</v>
      </c>
      <c r="H115" s="2" t="s">
        <v>3</v>
      </c>
      <c r="I115" s="2" t="s">
        <v>23</v>
      </c>
      <c r="J115" s="2" t="s">
        <v>308</v>
      </c>
      <c r="K115" s="2">
        <f t="shared" si="1"/>
        <v>44</v>
      </c>
    </row>
    <row r="116" spans="1:11" x14ac:dyDescent="0.2">
      <c r="A116" s="1">
        <v>43557</v>
      </c>
      <c r="B116" s="60" t="s">
        <v>343</v>
      </c>
      <c r="C116" s="37" t="s">
        <v>329</v>
      </c>
      <c r="D116" s="2">
        <v>1</v>
      </c>
      <c r="E116" s="2">
        <v>3</v>
      </c>
      <c r="F116" s="13">
        <v>1000000</v>
      </c>
      <c r="G116" s="13"/>
      <c r="H116" s="2" t="s">
        <v>2</v>
      </c>
      <c r="I116" s="2" t="s">
        <v>4</v>
      </c>
      <c r="J116" s="2" t="s">
        <v>65</v>
      </c>
      <c r="K116" s="2">
        <f t="shared" si="1"/>
        <v>45</v>
      </c>
    </row>
    <row r="117" spans="1:11" x14ac:dyDescent="0.2">
      <c r="A117" s="1">
        <v>43557</v>
      </c>
      <c r="B117" s="60" t="s">
        <v>343</v>
      </c>
      <c r="C117" s="37" t="s">
        <v>314</v>
      </c>
      <c r="D117" s="2">
        <v>13</v>
      </c>
      <c r="E117" s="2">
        <v>3</v>
      </c>
      <c r="F117" s="13">
        <v>18991</v>
      </c>
      <c r="G117" s="13"/>
      <c r="H117" s="2" t="s">
        <v>2</v>
      </c>
      <c r="I117" s="2" t="s">
        <v>23</v>
      </c>
      <c r="J117" s="2" t="s">
        <v>308</v>
      </c>
      <c r="K117" s="2">
        <f t="shared" si="1"/>
        <v>45</v>
      </c>
    </row>
    <row r="118" spans="1:11" x14ac:dyDescent="0.2">
      <c r="A118" s="1">
        <v>43557</v>
      </c>
      <c r="B118" s="60" t="s">
        <v>343</v>
      </c>
      <c r="C118" s="37" t="s">
        <v>313</v>
      </c>
      <c r="D118" s="2">
        <v>68</v>
      </c>
      <c r="E118" s="2">
        <v>1</v>
      </c>
      <c r="F118" s="13">
        <v>19091</v>
      </c>
      <c r="G118" s="13"/>
      <c r="H118" s="2" t="s">
        <v>2</v>
      </c>
      <c r="I118" s="2" t="s">
        <v>134</v>
      </c>
      <c r="J118" s="2" t="s">
        <v>134</v>
      </c>
      <c r="K118" s="2">
        <f t="shared" si="1"/>
        <v>45</v>
      </c>
    </row>
    <row r="119" spans="1:11" x14ac:dyDescent="0.2">
      <c r="A119" s="1">
        <v>43557</v>
      </c>
      <c r="B119" s="60" t="s">
        <v>343</v>
      </c>
      <c r="C119" s="37" t="s">
        <v>309</v>
      </c>
      <c r="D119" s="2">
        <v>13</v>
      </c>
      <c r="E119" s="2">
        <v>1</v>
      </c>
      <c r="F119" s="13"/>
      <c r="G119" s="13">
        <v>1000000</v>
      </c>
      <c r="H119" s="2" t="s">
        <v>3</v>
      </c>
      <c r="I119" s="2" t="s">
        <v>23</v>
      </c>
      <c r="J119" s="2" t="s">
        <v>23</v>
      </c>
      <c r="K119" s="2">
        <f t="shared" si="1"/>
        <v>45</v>
      </c>
    </row>
    <row r="120" spans="1:11" x14ac:dyDescent="0.2">
      <c r="A120" s="1">
        <v>43557</v>
      </c>
      <c r="B120" s="60" t="s">
        <v>343</v>
      </c>
      <c r="C120" s="37" t="s">
        <v>312</v>
      </c>
      <c r="D120" s="2">
        <v>13</v>
      </c>
      <c r="E120" s="2">
        <v>2</v>
      </c>
      <c r="F120" s="13"/>
      <c r="G120" s="13">
        <v>19091</v>
      </c>
      <c r="H120" s="2" t="s">
        <v>3</v>
      </c>
      <c r="I120" s="2" t="s">
        <v>23</v>
      </c>
      <c r="J120" s="2" t="s">
        <v>288</v>
      </c>
      <c r="K120" s="2">
        <f t="shared" si="1"/>
        <v>45</v>
      </c>
    </row>
    <row r="121" spans="1:11" x14ac:dyDescent="0.2">
      <c r="A121" s="1">
        <v>43557</v>
      </c>
      <c r="B121" s="60" t="s">
        <v>343</v>
      </c>
      <c r="C121" s="37" t="s">
        <v>315</v>
      </c>
      <c r="D121" s="2">
        <v>53</v>
      </c>
      <c r="E121" s="2">
        <v>1</v>
      </c>
      <c r="F121" s="13"/>
      <c r="G121" s="13">
        <v>18991</v>
      </c>
      <c r="H121" s="2" t="s">
        <v>3</v>
      </c>
      <c r="I121" s="2" t="s">
        <v>62</v>
      </c>
      <c r="J121" s="2" t="s">
        <v>62</v>
      </c>
      <c r="K121" s="2">
        <f t="shared" si="1"/>
        <v>45</v>
      </c>
    </row>
    <row r="122" spans="1:11" x14ac:dyDescent="0.2">
      <c r="A122" s="1">
        <v>43557</v>
      </c>
      <c r="B122" s="49" t="s">
        <v>248</v>
      </c>
      <c r="C122" s="37" t="s">
        <v>316</v>
      </c>
      <c r="D122" s="2">
        <v>1</v>
      </c>
      <c r="E122" s="2">
        <v>3</v>
      </c>
      <c r="F122" s="14">
        <v>1290000</v>
      </c>
      <c r="H122" s="2" t="s">
        <v>2</v>
      </c>
      <c r="I122" s="2" t="s">
        <v>4</v>
      </c>
      <c r="J122" s="2" t="s">
        <v>65</v>
      </c>
      <c r="K122" s="2">
        <f t="shared" si="1"/>
        <v>46</v>
      </c>
    </row>
    <row r="123" spans="1:11" x14ac:dyDescent="0.2">
      <c r="A123" s="1">
        <v>43557</v>
      </c>
      <c r="B123" s="49" t="s">
        <v>248</v>
      </c>
      <c r="C123" s="37" t="s">
        <v>316</v>
      </c>
      <c r="D123" s="2">
        <v>1</v>
      </c>
      <c r="E123" s="2">
        <v>2</v>
      </c>
      <c r="G123" s="14">
        <v>1290000</v>
      </c>
      <c r="H123" s="2" t="s">
        <v>3</v>
      </c>
      <c r="I123" s="2" t="s">
        <v>4</v>
      </c>
      <c r="J123" s="2" t="s">
        <v>5</v>
      </c>
      <c r="K123" s="2">
        <f t="shared" si="1"/>
        <v>46</v>
      </c>
    </row>
    <row r="124" spans="1:11" x14ac:dyDescent="0.2">
      <c r="A124" s="1">
        <v>43557</v>
      </c>
      <c r="B124" s="49" t="s">
        <v>248</v>
      </c>
      <c r="C124" s="37" t="s">
        <v>317</v>
      </c>
      <c r="D124" s="2">
        <v>2</v>
      </c>
      <c r="E124" s="2">
        <v>1</v>
      </c>
      <c r="F124" s="13">
        <v>1000000</v>
      </c>
      <c r="G124" s="13"/>
      <c r="H124" s="2" t="s">
        <v>2</v>
      </c>
      <c r="I124" s="2" t="s">
        <v>8</v>
      </c>
      <c r="J124" s="2" t="s">
        <v>66</v>
      </c>
      <c r="K124" s="2">
        <f t="shared" si="1"/>
        <v>47</v>
      </c>
    </row>
    <row r="125" spans="1:11" x14ac:dyDescent="0.2">
      <c r="A125" s="1">
        <v>43557</v>
      </c>
      <c r="B125" s="49" t="s">
        <v>248</v>
      </c>
      <c r="C125" s="37" t="s">
        <v>317</v>
      </c>
      <c r="D125" s="2">
        <v>6</v>
      </c>
      <c r="E125" s="2">
        <v>2</v>
      </c>
      <c r="F125" s="13">
        <v>250000</v>
      </c>
      <c r="G125" s="13"/>
      <c r="H125" s="2" t="s">
        <v>2</v>
      </c>
      <c r="I125" s="2" t="s">
        <v>16</v>
      </c>
      <c r="J125" s="2" t="s">
        <v>67</v>
      </c>
      <c r="K125" s="2">
        <f t="shared" si="1"/>
        <v>47</v>
      </c>
    </row>
    <row r="126" spans="1:11" x14ac:dyDescent="0.2">
      <c r="A126" s="1">
        <v>43557</v>
      </c>
      <c r="B126" s="49" t="s">
        <v>248</v>
      </c>
      <c r="C126" s="37" t="s">
        <v>317</v>
      </c>
      <c r="D126" s="2">
        <v>68</v>
      </c>
      <c r="E126" s="2">
        <v>1</v>
      </c>
      <c r="F126" s="13">
        <v>40000</v>
      </c>
      <c r="G126" s="13"/>
      <c r="H126" s="2" t="s">
        <v>2</v>
      </c>
      <c r="I126" s="2" t="s">
        <v>134</v>
      </c>
      <c r="J126" s="2" t="s">
        <v>134</v>
      </c>
      <c r="K126" s="2">
        <f t="shared" si="1"/>
        <v>47</v>
      </c>
    </row>
    <row r="127" spans="1:11" x14ac:dyDescent="0.2">
      <c r="A127" s="1">
        <v>43557</v>
      </c>
      <c r="B127" s="49" t="s">
        <v>248</v>
      </c>
      <c r="C127" s="37" t="s">
        <v>317</v>
      </c>
      <c r="D127" s="2">
        <v>1</v>
      </c>
      <c r="E127" s="2">
        <v>3</v>
      </c>
      <c r="F127" s="13"/>
      <c r="G127" s="13">
        <v>1290000</v>
      </c>
      <c r="H127" s="2" t="s">
        <v>3</v>
      </c>
      <c r="I127" s="2" t="s">
        <v>4</v>
      </c>
      <c r="J127" s="2" t="s">
        <v>65</v>
      </c>
      <c r="K127" s="2">
        <f t="shared" si="1"/>
        <v>47</v>
      </c>
    </row>
    <row r="128" spans="1:11" x14ac:dyDescent="0.2">
      <c r="A128" s="1">
        <v>43557</v>
      </c>
      <c r="B128" s="62" t="s">
        <v>249</v>
      </c>
      <c r="C128" s="37" t="s">
        <v>318</v>
      </c>
      <c r="D128" s="2">
        <v>1</v>
      </c>
      <c r="E128" s="2">
        <v>3</v>
      </c>
      <c r="F128" s="13">
        <v>250000</v>
      </c>
      <c r="G128" s="13"/>
      <c r="H128" s="2" t="s">
        <v>2</v>
      </c>
      <c r="I128" s="2" t="s">
        <v>4</v>
      </c>
      <c r="J128" s="2" t="s">
        <v>65</v>
      </c>
      <c r="K128" s="2">
        <f t="shared" si="1"/>
        <v>48</v>
      </c>
    </row>
    <row r="129" spans="1:11" x14ac:dyDescent="0.2">
      <c r="A129" s="1">
        <v>43557</v>
      </c>
      <c r="B129" s="62" t="s">
        <v>249</v>
      </c>
      <c r="C129" s="37" t="s">
        <v>318</v>
      </c>
      <c r="D129" s="2">
        <v>6</v>
      </c>
      <c r="E129" s="2">
        <v>2</v>
      </c>
      <c r="F129" s="13"/>
      <c r="G129" s="13">
        <v>250000</v>
      </c>
      <c r="H129" s="2" t="s">
        <v>3</v>
      </c>
      <c r="I129" s="2" t="s">
        <v>16</v>
      </c>
      <c r="J129" s="2" t="s">
        <v>67</v>
      </c>
      <c r="K129" s="2">
        <f t="shared" si="1"/>
        <v>48</v>
      </c>
    </row>
    <row r="130" spans="1:11" x14ac:dyDescent="0.2">
      <c r="A130" s="1">
        <v>43557</v>
      </c>
      <c r="B130" s="62" t="s">
        <v>249</v>
      </c>
      <c r="C130" s="37" t="s">
        <v>319</v>
      </c>
      <c r="D130" s="2">
        <v>6</v>
      </c>
      <c r="E130" s="2">
        <v>2</v>
      </c>
      <c r="F130" s="13">
        <v>500000</v>
      </c>
      <c r="G130" s="13"/>
      <c r="H130" s="2" t="s">
        <v>2</v>
      </c>
      <c r="I130" s="2" t="s">
        <v>16</v>
      </c>
      <c r="J130" s="2" t="s">
        <v>67</v>
      </c>
      <c r="K130" s="2">
        <f t="shared" si="1"/>
        <v>49</v>
      </c>
    </row>
    <row r="131" spans="1:11" x14ac:dyDescent="0.2">
      <c r="A131" s="1">
        <v>43557</v>
      </c>
      <c r="B131" s="62" t="s">
        <v>249</v>
      </c>
      <c r="C131" s="37" t="s">
        <v>319</v>
      </c>
      <c r="D131" s="2">
        <v>68</v>
      </c>
      <c r="E131" s="2">
        <v>1</v>
      </c>
      <c r="F131" s="13"/>
      <c r="G131" s="13">
        <v>500000</v>
      </c>
      <c r="H131" s="2" t="s">
        <v>3</v>
      </c>
      <c r="I131" s="2" t="s">
        <v>134</v>
      </c>
      <c r="J131" s="2" t="s">
        <v>134</v>
      </c>
      <c r="K131" s="2">
        <f t="shared" si="1"/>
        <v>49</v>
      </c>
    </row>
    <row r="132" spans="1:11" x14ac:dyDescent="0.2">
      <c r="A132" s="1">
        <v>43557</v>
      </c>
      <c r="B132" s="62" t="s">
        <v>249</v>
      </c>
      <c r="C132" s="37" t="s">
        <v>320</v>
      </c>
      <c r="D132" s="2">
        <v>1</v>
      </c>
      <c r="E132" s="2">
        <v>3</v>
      </c>
      <c r="F132" s="13">
        <v>500000</v>
      </c>
      <c r="G132" s="13"/>
      <c r="H132" s="2" t="s">
        <v>2</v>
      </c>
      <c r="I132" s="2" t="s">
        <v>4</v>
      </c>
      <c r="J132" s="2" t="s">
        <v>65</v>
      </c>
      <c r="K132" s="2">
        <f t="shared" si="1"/>
        <v>50</v>
      </c>
    </row>
    <row r="133" spans="1:11" x14ac:dyDescent="0.2">
      <c r="A133" s="1">
        <v>43557</v>
      </c>
      <c r="B133" s="62" t="s">
        <v>249</v>
      </c>
      <c r="C133" s="37" t="s">
        <v>320</v>
      </c>
      <c r="D133" s="2">
        <v>6</v>
      </c>
      <c r="E133" s="2">
        <v>2</v>
      </c>
      <c r="F133" s="13"/>
      <c r="G133" s="13">
        <v>500000</v>
      </c>
      <c r="H133" s="2" t="s">
        <v>3</v>
      </c>
      <c r="I133" s="2" t="s">
        <v>16</v>
      </c>
      <c r="J133" s="2" t="s">
        <v>67</v>
      </c>
      <c r="K133" s="2">
        <f t="shared" si="1"/>
        <v>50</v>
      </c>
    </row>
    <row r="134" spans="1:11" x14ac:dyDescent="0.2">
      <c r="A134" s="1">
        <v>43557</v>
      </c>
      <c r="B134" s="62" t="s">
        <v>249</v>
      </c>
      <c r="C134" s="37" t="s">
        <v>321</v>
      </c>
      <c r="D134" s="2">
        <v>2</v>
      </c>
      <c r="E134" s="2">
        <v>2</v>
      </c>
      <c r="F134" s="13">
        <v>500000</v>
      </c>
      <c r="G134" s="13"/>
      <c r="H134" s="2" t="s">
        <v>2</v>
      </c>
      <c r="I134" s="2" t="s">
        <v>8</v>
      </c>
      <c r="J134" s="2" t="s">
        <v>308</v>
      </c>
      <c r="K134" s="2">
        <f t="shared" ref="K134:K180" si="2">IF(F134 &gt; 0,IF(G133&gt;0,K133+1,K133),K133)</f>
        <v>51</v>
      </c>
    </row>
    <row r="135" spans="1:11" x14ac:dyDescent="0.2">
      <c r="A135" s="1">
        <v>43557</v>
      </c>
      <c r="B135" s="62" t="s">
        <v>249</v>
      </c>
      <c r="C135" s="37" t="s">
        <v>321</v>
      </c>
      <c r="D135" s="2">
        <v>29</v>
      </c>
      <c r="E135" s="2">
        <v>1</v>
      </c>
      <c r="F135" s="13"/>
      <c r="G135" s="13">
        <v>500000</v>
      </c>
      <c r="H135" s="2" t="s">
        <v>3</v>
      </c>
      <c r="I135" s="2" t="s">
        <v>39</v>
      </c>
      <c r="J135" s="2" t="s">
        <v>39</v>
      </c>
      <c r="K135" s="2">
        <f t="shared" si="2"/>
        <v>51</v>
      </c>
    </row>
    <row r="136" spans="1:11" x14ac:dyDescent="0.2">
      <c r="A136" s="1">
        <v>43557</v>
      </c>
      <c r="B136" s="60" t="s">
        <v>343</v>
      </c>
      <c r="C136" s="37" t="s">
        <v>322</v>
      </c>
      <c r="D136" s="2">
        <v>1</v>
      </c>
      <c r="E136" s="2">
        <v>3</v>
      </c>
      <c r="F136" s="13">
        <v>2000000</v>
      </c>
      <c r="G136" s="13"/>
      <c r="H136" s="2" t="s">
        <v>2</v>
      </c>
      <c r="I136" s="2" t="s">
        <v>4</v>
      </c>
      <c r="J136" s="2" t="s">
        <v>65</v>
      </c>
      <c r="K136" s="2">
        <f t="shared" si="2"/>
        <v>52</v>
      </c>
    </row>
    <row r="137" spans="1:11" x14ac:dyDescent="0.2">
      <c r="A137" s="1">
        <v>43557</v>
      </c>
      <c r="B137" s="60" t="s">
        <v>343</v>
      </c>
      <c r="C137" s="37" t="s">
        <v>322</v>
      </c>
      <c r="D137" s="2">
        <v>2</v>
      </c>
      <c r="E137" s="2">
        <v>1</v>
      </c>
      <c r="F137" s="13"/>
      <c r="G137" s="13">
        <v>1000000</v>
      </c>
      <c r="H137" s="2" t="s">
        <v>3</v>
      </c>
      <c r="I137" s="2" t="s">
        <v>8</v>
      </c>
      <c r="J137" s="2" t="s">
        <v>66</v>
      </c>
      <c r="K137" s="2">
        <f t="shared" si="2"/>
        <v>52</v>
      </c>
    </row>
    <row r="138" spans="1:11" x14ac:dyDescent="0.2">
      <c r="A138" s="1">
        <v>43557</v>
      </c>
      <c r="B138" s="60" t="s">
        <v>343</v>
      </c>
      <c r="C138" s="37" t="s">
        <v>322</v>
      </c>
      <c r="D138" s="2">
        <v>2</v>
      </c>
      <c r="E138" s="2">
        <v>2</v>
      </c>
      <c r="F138" s="13"/>
      <c r="G138" s="13">
        <v>500000</v>
      </c>
      <c r="H138" s="2" t="s">
        <v>3</v>
      </c>
      <c r="I138" s="2" t="s">
        <v>8</v>
      </c>
      <c r="J138" s="2" t="s">
        <v>308</v>
      </c>
      <c r="K138" s="2">
        <f t="shared" si="2"/>
        <v>52</v>
      </c>
    </row>
    <row r="139" spans="1:11" x14ac:dyDescent="0.2">
      <c r="A139" s="1">
        <v>43557</v>
      </c>
      <c r="B139" s="60" t="s">
        <v>343</v>
      </c>
      <c r="C139" s="37" t="s">
        <v>322</v>
      </c>
      <c r="D139" s="2">
        <v>68</v>
      </c>
      <c r="E139" s="2">
        <v>1</v>
      </c>
      <c r="F139" s="13"/>
      <c r="G139" s="13">
        <v>500000</v>
      </c>
      <c r="H139" s="2" t="s">
        <v>3</v>
      </c>
      <c r="I139" s="2" t="s">
        <v>134</v>
      </c>
      <c r="J139" s="2" t="s">
        <v>134</v>
      </c>
      <c r="K139" s="2">
        <f t="shared" si="2"/>
        <v>52</v>
      </c>
    </row>
    <row r="140" spans="1:11" x14ac:dyDescent="0.2">
      <c r="A140" s="1">
        <v>43557</v>
      </c>
      <c r="B140" s="60" t="s">
        <v>343</v>
      </c>
      <c r="C140" s="37" t="s">
        <v>322</v>
      </c>
      <c r="D140" s="2">
        <v>29</v>
      </c>
      <c r="E140" s="2">
        <v>1</v>
      </c>
      <c r="F140" s="13">
        <v>500000</v>
      </c>
      <c r="G140" s="13"/>
      <c r="H140" s="2" t="s">
        <v>2</v>
      </c>
      <c r="I140" s="2" t="s">
        <v>39</v>
      </c>
      <c r="J140" s="2" t="s">
        <v>39</v>
      </c>
      <c r="K140" s="2">
        <f t="shared" si="2"/>
        <v>53</v>
      </c>
    </row>
    <row r="141" spans="1:11" x14ac:dyDescent="0.2">
      <c r="A141" s="1">
        <v>43557</v>
      </c>
      <c r="B141" s="60" t="s">
        <v>343</v>
      </c>
      <c r="C141" s="37" t="s">
        <v>322</v>
      </c>
      <c r="D141" s="2">
        <v>68</v>
      </c>
      <c r="E141" s="2">
        <v>1</v>
      </c>
      <c r="F141" s="13"/>
      <c r="G141" s="13">
        <v>500000</v>
      </c>
      <c r="H141" s="2" t="s">
        <v>3</v>
      </c>
      <c r="I141" s="2" t="s">
        <v>134</v>
      </c>
      <c r="J141" s="2" t="s">
        <v>134</v>
      </c>
      <c r="K141" s="2">
        <f t="shared" si="2"/>
        <v>53</v>
      </c>
    </row>
    <row r="142" spans="1:11" x14ac:dyDescent="0.2">
      <c r="A142" s="1">
        <v>43557</v>
      </c>
      <c r="B142" s="49" t="s">
        <v>248</v>
      </c>
      <c r="C142" s="37" t="s">
        <v>283</v>
      </c>
      <c r="D142" s="2">
        <v>18</v>
      </c>
      <c r="E142" s="2">
        <v>1</v>
      </c>
      <c r="F142" s="13">
        <v>20000000</v>
      </c>
      <c r="G142" s="13"/>
      <c r="H142" s="2" t="s">
        <v>2</v>
      </c>
      <c r="I142" s="2" t="s">
        <v>28</v>
      </c>
      <c r="J142" s="2" t="s">
        <v>28</v>
      </c>
      <c r="K142" s="2">
        <f t="shared" si="2"/>
        <v>54</v>
      </c>
    </row>
    <row r="143" spans="1:11" x14ac:dyDescent="0.2">
      <c r="A143" s="1">
        <v>43557</v>
      </c>
      <c r="B143" s="49" t="s">
        <v>248</v>
      </c>
      <c r="C143" s="37" t="s">
        <v>283</v>
      </c>
      <c r="D143" s="2">
        <v>38</v>
      </c>
      <c r="E143" s="2">
        <v>1</v>
      </c>
      <c r="F143" s="13">
        <v>2200000</v>
      </c>
      <c r="G143" s="13"/>
      <c r="H143" s="2" t="s">
        <v>2</v>
      </c>
      <c r="I143" s="2" t="s">
        <v>48</v>
      </c>
      <c r="J143" s="2" t="s">
        <v>222</v>
      </c>
      <c r="K143" s="2">
        <f t="shared" si="2"/>
        <v>54</v>
      </c>
    </row>
    <row r="144" spans="1:11" x14ac:dyDescent="0.2">
      <c r="A144" s="1">
        <v>43557</v>
      </c>
      <c r="B144" s="49" t="s">
        <v>248</v>
      </c>
      <c r="C144" s="37" t="s">
        <v>283</v>
      </c>
      <c r="D144" s="2">
        <v>1</v>
      </c>
      <c r="E144" s="2">
        <v>2</v>
      </c>
      <c r="F144" s="13"/>
      <c r="G144" s="13">
        <v>22200000</v>
      </c>
      <c r="H144" s="2" t="s">
        <v>3</v>
      </c>
      <c r="I144" s="2" t="s">
        <v>4</v>
      </c>
      <c r="J144" s="2" t="s">
        <v>5</v>
      </c>
      <c r="K144" s="2">
        <f t="shared" si="2"/>
        <v>54</v>
      </c>
    </row>
    <row r="145" spans="1:11" x14ac:dyDescent="0.2">
      <c r="A145" s="1">
        <v>43557</v>
      </c>
      <c r="B145" s="49" t="s">
        <v>248</v>
      </c>
      <c r="C145" s="37" t="s">
        <v>330</v>
      </c>
      <c r="D145" s="2">
        <v>18</v>
      </c>
      <c r="E145" s="2">
        <v>1</v>
      </c>
      <c r="F145" s="14">
        <v>1200000</v>
      </c>
      <c r="H145" s="2" t="s">
        <v>2</v>
      </c>
      <c r="I145" s="2" t="s">
        <v>28</v>
      </c>
      <c r="J145" s="2" t="s">
        <v>28</v>
      </c>
      <c r="K145" s="2">
        <f t="shared" si="2"/>
        <v>55</v>
      </c>
    </row>
    <row r="146" spans="1:11" x14ac:dyDescent="0.2">
      <c r="A146" s="1">
        <v>43557</v>
      </c>
      <c r="B146" s="49" t="s">
        <v>248</v>
      </c>
      <c r="C146" s="37" t="s">
        <v>330</v>
      </c>
      <c r="D146" s="2">
        <v>19</v>
      </c>
      <c r="E146" s="2">
        <v>1</v>
      </c>
      <c r="G146" s="14">
        <v>1200000</v>
      </c>
      <c r="H146" s="2" t="s">
        <v>3</v>
      </c>
      <c r="I146" s="2" t="s">
        <v>29</v>
      </c>
      <c r="J146" s="2" t="s">
        <v>29</v>
      </c>
      <c r="K146" s="2">
        <f t="shared" si="2"/>
        <v>55</v>
      </c>
    </row>
    <row r="147" spans="1:11" x14ac:dyDescent="0.2">
      <c r="A147" s="1">
        <v>43557</v>
      </c>
      <c r="B147" s="62" t="s">
        <v>249</v>
      </c>
      <c r="C147" s="37" t="s">
        <v>331</v>
      </c>
      <c r="D147" s="2">
        <v>60</v>
      </c>
      <c r="E147" s="2">
        <v>1</v>
      </c>
      <c r="F147" s="14">
        <v>25000</v>
      </c>
      <c r="H147" s="2" t="s">
        <v>2</v>
      </c>
      <c r="I147" s="2" t="s">
        <v>124</v>
      </c>
      <c r="J147" s="2" t="s">
        <v>124</v>
      </c>
      <c r="K147" s="2">
        <f t="shared" si="2"/>
        <v>56</v>
      </c>
    </row>
    <row r="148" spans="1:11" x14ac:dyDescent="0.2">
      <c r="A148" s="1">
        <v>43557</v>
      </c>
      <c r="B148" s="62" t="s">
        <v>249</v>
      </c>
      <c r="C148" s="37" t="s">
        <v>331</v>
      </c>
      <c r="D148" s="2">
        <v>18</v>
      </c>
      <c r="E148" s="2">
        <v>2</v>
      </c>
      <c r="F148" s="13"/>
      <c r="G148" s="13">
        <v>25000</v>
      </c>
      <c r="H148" s="2" t="s">
        <v>3</v>
      </c>
      <c r="I148" s="2" t="s">
        <v>28</v>
      </c>
      <c r="J148" s="2" t="s">
        <v>90</v>
      </c>
      <c r="K148" s="2">
        <f t="shared" si="2"/>
        <v>56</v>
      </c>
    </row>
    <row r="149" spans="1:11" x14ac:dyDescent="0.2">
      <c r="A149" s="1">
        <v>43557</v>
      </c>
      <c r="B149" s="62" t="s">
        <v>249</v>
      </c>
      <c r="C149" s="37" t="s">
        <v>332</v>
      </c>
      <c r="D149" s="2">
        <v>1</v>
      </c>
      <c r="E149" s="2">
        <v>2</v>
      </c>
      <c r="F149" s="13">
        <v>55500</v>
      </c>
      <c r="G149" s="13"/>
      <c r="H149" s="2" t="s">
        <v>2</v>
      </c>
      <c r="I149" s="2" t="s">
        <v>4</v>
      </c>
      <c r="J149" s="2" t="s">
        <v>5</v>
      </c>
      <c r="K149" s="2">
        <f t="shared" si="2"/>
        <v>57</v>
      </c>
    </row>
    <row r="150" spans="1:11" x14ac:dyDescent="0.2">
      <c r="A150" s="1">
        <v>43557</v>
      </c>
      <c r="B150" s="62" t="s">
        <v>249</v>
      </c>
      <c r="C150" s="37" t="s">
        <v>332</v>
      </c>
      <c r="D150" s="2">
        <v>57</v>
      </c>
      <c r="E150" s="2">
        <v>1</v>
      </c>
      <c r="F150" s="13"/>
      <c r="G150" s="13">
        <v>50000</v>
      </c>
      <c r="H150" s="2" t="s">
        <v>3</v>
      </c>
      <c r="I150" s="2" t="s">
        <v>118</v>
      </c>
      <c r="J150" s="2" t="s">
        <v>118</v>
      </c>
      <c r="K150" s="2">
        <f t="shared" si="2"/>
        <v>57</v>
      </c>
    </row>
    <row r="151" spans="1:11" x14ac:dyDescent="0.2">
      <c r="A151" s="1">
        <v>43557</v>
      </c>
      <c r="B151" s="62" t="s">
        <v>249</v>
      </c>
      <c r="C151" s="37" t="s">
        <v>332</v>
      </c>
      <c r="D151" s="2">
        <v>38</v>
      </c>
      <c r="E151" s="2">
        <v>1</v>
      </c>
      <c r="F151" s="13"/>
      <c r="G151" s="13">
        <v>5500</v>
      </c>
      <c r="H151" s="2" t="s">
        <v>3</v>
      </c>
      <c r="I151" s="2" t="s">
        <v>48</v>
      </c>
      <c r="J151" s="2" t="s">
        <v>222</v>
      </c>
      <c r="K151" s="2">
        <f t="shared" si="2"/>
        <v>57</v>
      </c>
    </row>
    <row r="152" spans="1:11" x14ac:dyDescent="0.2">
      <c r="A152" s="1">
        <v>43557</v>
      </c>
      <c r="B152" s="60" t="s">
        <v>343</v>
      </c>
      <c r="C152" s="37" t="s">
        <v>333</v>
      </c>
      <c r="D152" s="2">
        <v>1</v>
      </c>
      <c r="E152" s="2">
        <v>2</v>
      </c>
      <c r="F152" s="13">
        <v>2220000</v>
      </c>
      <c r="G152" s="13"/>
      <c r="H152" s="2" t="s">
        <v>2</v>
      </c>
      <c r="I152" s="2" t="s">
        <v>4</v>
      </c>
      <c r="J152" s="2" t="s">
        <v>5</v>
      </c>
      <c r="K152" s="2">
        <f t="shared" si="2"/>
        <v>58</v>
      </c>
    </row>
    <row r="153" spans="1:11" x14ac:dyDescent="0.2">
      <c r="A153" s="1">
        <v>43557</v>
      </c>
      <c r="B153" s="60" t="s">
        <v>343</v>
      </c>
      <c r="C153" s="37" t="s">
        <v>333</v>
      </c>
      <c r="D153" s="2">
        <v>57</v>
      </c>
      <c r="E153" s="2">
        <v>1</v>
      </c>
      <c r="F153" s="13"/>
      <c r="G153" s="13">
        <v>2000000</v>
      </c>
      <c r="H153" s="2" t="s">
        <v>3</v>
      </c>
      <c r="I153" s="2" t="s">
        <v>118</v>
      </c>
      <c r="J153" s="2" t="s">
        <v>118</v>
      </c>
      <c r="K153" s="2">
        <f t="shared" si="2"/>
        <v>58</v>
      </c>
    </row>
    <row r="154" spans="1:11" x14ac:dyDescent="0.2">
      <c r="A154" s="1">
        <v>43557</v>
      </c>
      <c r="B154" s="60" t="s">
        <v>343</v>
      </c>
      <c r="C154" s="37" t="s">
        <v>334</v>
      </c>
      <c r="D154" s="2">
        <v>38</v>
      </c>
      <c r="E154" s="2">
        <v>1</v>
      </c>
      <c r="F154" s="13"/>
      <c r="G154" s="13">
        <v>220000</v>
      </c>
      <c r="H154" s="2" t="s">
        <v>3</v>
      </c>
      <c r="I154" s="2" t="s">
        <v>48</v>
      </c>
      <c r="J154" s="2" t="s">
        <v>222</v>
      </c>
      <c r="K154" s="2">
        <f t="shared" si="2"/>
        <v>58</v>
      </c>
    </row>
    <row r="155" spans="1:11" x14ac:dyDescent="0.2">
      <c r="A155" s="1">
        <v>43557</v>
      </c>
      <c r="B155" s="60" t="s">
        <v>343</v>
      </c>
      <c r="C155" s="37" t="s">
        <v>335</v>
      </c>
      <c r="D155" s="2">
        <v>60</v>
      </c>
      <c r="E155" s="2">
        <v>1</v>
      </c>
      <c r="F155" s="13">
        <v>1175000</v>
      </c>
      <c r="G155" s="13"/>
      <c r="H155" s="2" t="s">
        <v>2</v>
      </c>
      <c r="I155" s="2" t="s">
        <v>124</v>
      </c>
      <c r="J155" s="2" t="s">
        <v>124</v>
      </c>
      <c r="K155" s="2">
        <f t="shared" si="2"/>
        <v>59</v>
      </c>
    </row>
    <row r="156" spans="1:11" x14ac:dyDescent="0.2">
      <c r="A156" s="1">
        <v>43557</v>
      </c>
      <c r="B156" s="60" t="s">
        <v>343</v>
      </c>
      <c r="C156" s="37" t="s">
        <v>335</v>
      </c>
      <c r="D156" s="2">
        <v>18</v>
      </c>
      <c r="E156" s="2">
        <v>2</v>
      </c>
      <c r="F156" s="13">
        <v>25000</v>
      </c>
      <c r="G156" s="13"/>
      <c r="H156" s="2" t="s">
        <v>2</v>
      </c>
      <c r="I156" s="2" t="s">
        <v>28</v>
      </c>
      <c r="J156" s="2" t="s">
        <v>90</v>
      </c>
      <c r="K156" s="2">
        <f t="shared" si="2"/>
        <v>59</v>
      </c>
    </row>
    <row r="157" spans="1:11" x14ac:dyDescent="0.2">
      <c r="A157" s="1">
        <v>43557</v>
      </c>
      <c r="B157" s="60" t="s">
        <v>343</v>
      </c>
      <c r="C157" s="37" t="s">
        <v>335</v>
      </c>
      <c r="D157" s="2">
        <v>18</v>
      </c>
      <c r="E157" s="2">
        <v>1</v>
      </c>
      <c r="F157" s="13"/>
      <c r="G157" s="13">
        <v>1200000</v>
      </c>
      <c r="H157" s="2" t="s">
        <v>3</v>
      </c>
      <c r="I157" s="2" t="s">
        <v>28</v>
      </c>
      <c r="J157" s="2" t="s">
        <v>28</v>
      </c>
      <c r="K157" s="2">
        <f t="shared" si="2"/>
        <v>59</v>
      </c>
    </row>
    <row r="158" spans="1:11" x14ac:dyDescent="0.2">
      <c r="A158" s="1">
        <v>43557</v>
      </c>
      <c r="B158" s="49" t="s">
        <v>248</v>
      </c>
      <c r="C158" s="37" t="s">
        <v>336</v>
      </c>
      <c r="D158" s="2">
        <v>15</v>
      </c>
      <c r="E158" s="2">
        <v>1</v>
      </c>
      <c r="F158" s="13">
        <v>800000</v>
      </c>
      <c r="G158" s="13"/>
      <c r="H158" s="2" t="s">
        <v>2</v>
      </c>
      <c r="I158" s="2" t="s">
        <v>25</v>
      </c>
      <c r="J158" s="2" t="s">
        <v>25</v>
      </c>
      <c r="K158" s="2">
        <f t="shared" si="2"/>
        <v>60</v>
      </c>
    </row>
    <row r="159" spans="1:11" x14ac:dyDescent="0.2">
      <c r="A159" s="1">
        <v>43557</v>
      </c>
      <c r="B159" s="49" t="s">
        <v>248</v>
      </c>
      <c r="C159" s="37" t="s">
        <v>336</v>
      </c>
      <c r="D159" s="2">
        <v>52</v>
      </c>
      <c r="E159" s="2">
        <v>1</v>
      </c>
      <c r="F159" s="13">
        <v>50000</v>
      </c>
      <c r="G159" s="13"/>
      <c r="H159" s="2" t="s">
        <v>2</v>
      </c>
      <c r="I159" s="2" t="s">
        <v>61</v>
      </c>
      <c r="J159" s="2" t="s">
        <v>61</v>
      </c>
      <c r="K159" s="2">
        <f t="shared" si="2"/>
        <v>60</v>
      </c>
    </row>
    <row r="160" spans="1:11" x14ac:dyDescent="0.2">
      <c r="A160" s="1">
        <v>43557</v>
      </c>
      <c r="B160" s="49" t="s">
        <v>248</v>
      </c>
      <c r="C160" s="37" t="s">
        <v>336</v>
      </c>
      <c r="D160" s="2">
        <v>54</v>
      </c>
      <c r="E160" s="2">
        <v>1</v>
      </c>
      <c r="F160" s="13">
        <v>100000</v>
      </c>
      <c r="G160" s="13"/>
      <c r="H160" s="2" t="s">
        <v>2</v>
      </c>
      <c r="I160" s="2" t="s">
        <v>63</v>
      </c>
      <c r="J160" s="2" t="s">
        <v>63</v>
      </c>
      <c r="K160" s="2">
        <f t="shared" si="2"/>
        <v>60</v>
      </c>
    </row>
    <row r="161" spans="1:11" x14ac:dyDescent="0.2">
      <c r="A161" s="1">
        <v>43557</v>
      </c>
      <c r="B161" s="49" t="s">
        <v>248</v>
      </c>
      <c r="C161" s="37" t="s">
        <v>336</v>
      </c>
      <c r="D161" s="2">
        <v>55</v>
      </c>
      <c r="E161" s="2">
        <v>1</v>
      </c>
      <c r="F161" s="13">
        <v>50000</v>
      </c>
      <c r="G161" s="13"/>
      <c r="H161" s="2" t="s">
        <v>2</v>
      </c>
      <c r="I161" s="2" t="s">
        <v>64</v>
      </c>
      <c r="J161" s="2" t="s">
        <v>64</v>
      </c>
      <c r="K161" s="2">
        <f t="shared" si="2"/>
        <v>60</v>
      </c>
    </row>
    <row r="162" spans="1:11" x14ac:dyDescent="0.2">
      <c r="A162" s="1">
        <v>43557</v>
      </c>
      <c r="B162" s="49" t="s">
        <v>248</v>
      </c>
      <c r="C162" s="37" t="s">
        <v>336</v>
      </c>
      <c r="D162" s="2">
        <v>1</v>
      </c>
      <c r="E162" s="2">
        <v>2</v>
      </c>
      <c r="F162" s="13"/>
      <c r="G162" s="13">
        <v>1000000</v>
      </c>
      <c r="H162" s="2" t="s">
        <v>3</v>
      </c>
      <c r="I162" s="2" t="s">
        <v>4</v>
      </c>
      <c r="J162" s="2" t="s">
        <v>5</v>
      </c>
      <c r="K162" s="2">
        <f t="shared" si="2"/>
        <v>60</v>
      </c>
    </row>
    <row r="163" spans="1:11" x14ac:dyDescent="0.2">
      <c r="A163" s="1">
        <v>43557</v>
      </c>
      <c r="B163" s="49" t="s">
        <v>248</v>
      </c>
      <c r="C163" s="37" t="s">
        <v>337</v>
      </c>
      <c r="D163" s="2">
        <v>1</v>
      </c>
      <c r="E163" s="2">
        <v>2</v>
      </c>
      <c r="F163" s="13">
        <v>60000</v>
      </c>
      <c r="G163" s="13"/>
      <c r="H163" s="2" t="s">
        <v>2</v>
      </c>
      <c r="I163" s="2" t="s">
        <v>4</v>
      </c>
      <c r="J163" s="2" t="s">
        <v>5</v>
      </c>
      <c r="K163" s="2">
        <f t="shared" si="2"/>
        <v>61</v>
      </c>
    </row>
    <row r="164" spans="1:11" x14ac:dyDescent="0.2">
      <c r="A164" s="1">
        <v>43557</v>
      </c>
      <c r="B164" s="49" t="s">
        <v>248</v>
      </c>
      <c r="C164" s="37" t="s">
        <v>337</v>
      </c>
      <c r="D164" s="2">
        <v>31</v>
      </c>
      <c r="E164" s="2">
        <v>1</v>
      </c>
      <c r="F164" s="13"/>
      <c r="G164" s="13">
        <v>60000</v>
      </c>
      <c r="H164" s="2" t="s">
        <v>3</v>
      </c>
      <c r="I164" s="2" t="s">
        <v>41</v>
      </c>
      <c r="J164" s="2" t="s">
        <v>41</v>
      </c>
      <c r="K164" s="2">
        <f t="shared" si="2"/>
        <v>61</v>
      </c>
    </row>
    <row r="165" spans="1:11" x14ac:dyDescent="0.2">
      <c r="A165" s="1">
        <v>43557</v>
      </c>
      <c r="B165" s="62" t="s">
        <v>249</v>
      </c>
      <c r="C165" s="37" t="s">
        <v>340</v>
      </c>
      <c r="D165" s="2">
        <v>66</v>
      </c>
      <c r="E165" s="2">
        <v>1</v>
      </c>
      <c r="F165" s="13">
        <v>300</v>
      </c>
      <c r="G165" s="13"/>
      <c r="H165" s="2" t="s">
        <v>2</v>
      </c>
      <c r="I165" s="2" t="s">
        <v>130</v>
      </c>
      <c r="J165" s="2" t="s">
        <v>130</v>
      </c>
      <c r="K165" s="2">
        <f t="shared" si="2"/>
        <v>62</v>
      </c>
    </row>
    <row r="166" spans="1:11" x14ac:dyDescent="0.2">
      <c r="A166" s="1">
        <v>43557</v>
      </c>
      <c r="B166" s="62" t="s">
        <v>249</v>
      </c>
      <c r="C166" s="37" t="s">
        <v>340</v>
      </c>
      <c r="D166" s="2">
        <v>39</v>
      </c>
      <c r="E166" s="2">
        <v>3</v>
      </c>
      <c r="F166" s="13"/>
      <c r="G166" s="13">
        <v>300</v>
      </c>
      <c r="H166" s="2" t="s">
        <v>3</v>
      </c>
      <c r="I166" s="2" t="s">
        <v>49</v>
      </c>
      <c r="J166" s="2" t="s">
        <v>339</v>
      </c>
      <c r="K166" s="2">
        <f t="shared" si="2"/>
        <v>62</v>
      </c>
    </row>
    <row r="167" spans="1:11" x14ac:dyDescent="0.2">
      <c r="A167" s="1">
        <v>43557</v>
      </c>
      <c r="B167" s="60" t="s">
        <v>343</v>
      </c>
      <c r="C167" s="37" t="s">
        <v>341</v>
      </c>
      <c r="D167" s="2">
        <v>31</v>
      </c>
      <c r="E167" s="2">
        <v>1</v>
      </c>
      <c r="F167" s="13">
        <v>60000</v>
      </c>
      <c r="G167" s="13"/>
      <c r="H167" s="2" t="s">
        <v>2</v>
      </c>
      <c r="I167" s="2" t="s">
        <v>41</v>
      </c>
      <c r="J167" s="2" t="s">
        <v>41</v>
      </c>
      <c r="K167" s="2">
        <f t="shared" si="2"/>
        <v>63</v>
      </c>
    </row>
    <row r="168" spans="1:11" x14ac:dyDescent="0.2">
      <c r="A168" s="1">
        <v>43557</v>
      </c>
      <c r="B168" s="60" t="s">
        <v>343</v>
      </c>
      <c r="C168" s="37" t="s">
        <v>341</v>
      </c>
      <c r="D168" s="2">
        <v>66</v>
      </c>
      <c r="E168" s="2">
        <v>1</v>
      </c>
      <c r="F168" s="13">
        <v>300</v>
      </c>
      <c r="G168" s="13"/>
      <c r="H168" s="2" t="s">
        <v>2</v>
      </c>
      <c r="I168" s="2" t="s">
        <v>130</v>
      </c>
      <c r="J168" s="2" t="s">
        <v>130</v>
      </c>
      <c r="K168" s="2">
        <f t="shared" si="2"/>
        <v>63</v>
      </c>
    </row>
    <row r="169" spans="1:11" x14ac:dyDescent="0.2">
      <c r="A169" s="1">
        <v>43557</v>
      </c>
      <c r="B169" s="60" t="s">
        <v>343</v>
      </c>
      <c r="C169" s="37" t="s">
        <v>341</v>
      </c>
      <c r="D169" s="2">
        <v>39</v>
      </c>
      <c r="E169" s="2">
        <v>3</v>
      </c>
      <c r="F169" s="13">
        <v>300</v>
      </c>
      <c r="G169" s="13"/>
      <c r="H169" s="2" t="s">
        <v>2</v>
      </c>
      <c r="I169" s="2" t="s">
        <v>49</v>
      </c>
      <c r="J169" s="2" t="s">
        <v>339</v>
      </c>
      <c r="K169" s="2">
        <f t="shared" si="2"/>
        <v>63</v>
      </c>
    </row>
    <row r="170" spans="1:11" x14ac:dyDescent="0.2">
      <c r="A170" s="1">
        <v>43557</v>
      </c>
      <c r="B170" s="60" t="s">
        <v>343</v>
      </c>
      <c r="C170" s="37" t="s">
        <v>341</v>
      </c>
      <c r="D170" s="2">
        <v>1</v>
      </c>
      <c r="E170" s="2">
        <v>2</v>
      </c>
      <c r="F170" s="13"/>
      <c r="G170" s="13">
        <v>60600</v>
      </c>
      <c r="H170" s="2" t="s">
        <v>3</v>
      </c>
      <c r="I170" s="2" t="s">
        <v>4</v>
      </c>
      <c r="J170" s="2" t="s">
        <v>5</v>
      </c>
      <c r="K170" s="2">
        <f t="shared" si="2"/>
        <v>63</v>
      </c>
    </row>
    <row r="171" spans="1:11" x14ac:dyDescent="0.2">
      <c r="A171" s="1">
        <v>43557</v>
      </c>
      <c r="B171" s="49" t="s">
        <v>248</v>
      </c>
      <c r="C171" s="37" t="s">
        <v>345</v>
      </c>
      <c r="D171" s="2">
        <v>1</v>
      </c>
      <c r="E171" s="2">
        <v>2</v>
      </c>
      <c r="F171" s="13">
        <v>10000000</v>
      </c>
      <c r="G171" s="13"/>
      <c r="H171" s="2" t="s">
        <v>2</v>
      </c>
      <c r="I171" s="2" t="s">
        <v>4</v>
      </c>
      <c r="J171" s="2" t="s">
        <v>5</v>
      </c>
      <c r="K171" s="2">
        <f t="shared" si="2"/>
        <v>64</v>
      </c>
    </row>
    <row r="172" spans="1:11" x14ac:dyDescent="0.2">
      <c r="A172" s="1">
        <v>43557</v>
      </c>
      <c r="B172" s="49" t="s">
        <v>248</v>
      </c>
      <c r="C172" s="37" t="s">
        <v>345</v>
      </c>
      <c r="D172" s="2">
        <v>50</v>
      </c>
      <c r="E172" s="2">
        <v>1</v>
      </c>
      <c r="F172" s="13"/>
      <c r="G172" s="13">
        <v>10000000</v>
      </c>
      <c r="H172" s="2" t="s">
        <v>3</v>
      </c>
      <c r="I172" s="2" t="s">
        <v>60</v>
      </c>
      <c r="J172" s="2" t="s">
        <v>60</v>
      </c>
      <c r="K172" s="2">
        <f t="shared" si="2"/>
        <v>64</v>
      </c>
    </row>
    <row r="173" spans="1:11" x14ac:dyDescent="0.2">
      <c r="A173" s="1">
        <v>43557</v>
      </c>
      <c r="B173" s="49" t="s">
        <v>248</v>
      </c>
      <c r="C173" s="37" t="s">
        <v>348</v>
      </c>
      <c r="D173" s="2">
        <v>1</v>
      </c>
      <c r="E173" s="2">
        <v>2</v>
      </c>
      <c r="F173" s="13">
        <v>40000000</v>
      </c>
      <c r="G173" s="13"/>
      <c r="H173" s="2" t="s">
        <v>2</v>
      </c>
      <c r="I173" s="2" t="s">
        <v>4</v>
      </c>
      <c r="J173" s="2" t="s">
        <v>5</v>
      </c>
      <c r="K173" s="2">
        <f t="shared" si="2"/>
        <v>65</v>
      </c>
    </row>
    <row r="174" spans="1:11" x14ac:dyDescent="0.2">
      <c r="A174" s="1">
        <v>43557</v>
      </c>
      <c r="B174" s="49" t="s">
        <v>248</v>
      </c>
      <c r="C174" s="37" t="s">
        <v>349</v>
      </c>
      <c r="D174" s="2">
        <v>50</v>
      </c>
      <c r="E174" s="2">
        <v>1</v>
      </c>
      <c r="F174" s="13"/>
      <c r="G174" s="13">
        <v>30000000</v>
      </c>
      <c r="H174" s="2" t="s">
        <v>3</v>
      </c>
      <c r="I174" s="2" t="s">
        <v>60</v>
      </c>
      <c r="J174" s="2" t="s">
        <v>60</v>
      </c>
      <c r="K174" s="2">
        <f t="shared" si="2"/>
        <v>65</v>
      </c>
    </row>
    <row r="175" spans="1:11" x14ac:dyDescent="0.2">
      <c r="A175" s="1">
        <v>43557</v>
      </c>
      <c r="B175" s="49" t="s">
        <v>248</v>
      </c>
      <c r="C175" s="37" t="s">
        <v>347</v>
      </c>
      <c r="D175" s="2">
        <v>52</v>
      </c>
      <c r="E175" s="2">
        <v>3</v>
      </c>
      <c r="F175" s="13"/>
      <c r="G175" s="13">
        <v>10000000</v>
      </c>
      <c r="H175" s="2" t="s">
        <v>3</v>
      </c>
      <c r="I175" s="2" t="s">
        <v>61</v>
      </c>
      <c r="J175" s="2" t="s">
        <v>351</v>
      </c>
      <c r="K175" s="2">
        <f t="shared" si="2"/>
        <v>65</v>
      </c>
    </row>
    <row r="176" spans="1:11" x14ac:dyDescent="0.2">
      <c r="A176" s="1">
        <v>43557</v>
      </c>
      <c r="B176" s="62" t="s">
        <v>249</v>
      </c>
      <c r="C176" s="37" t="s">
        <v>350</v>
      </c>
      <c r="D176" s="2">
        <v>52</v>
      </c>
      <c r="E176" s="2">
        <v>2</v>
      </c>
      <c r="F176" s="13">
        <v>5000000</v>
      </c>
      <c r="G176" s="13"/>
      <c r="H176" s="2" t="s">
        <v>2</v>
      </c>
      <c r="I176" s="2" t="s">
        <v>61</v>
      </c>
      <c r="J176" s="2" t="s">
        <v>346</v>
      </c>
      <c r="K176" s="2">
        <f t="shared" si="2"/>
        <v>66</v>
      </c>
    </row>
    <row r="177" spans="1:11" x14ac:dyDescent="0.2">
      <c r="A177" s="1">
        <v>43557</v>
      </c>
      <c r="B177" s="62" t="s">
        <v>249</v>
      </c>
      <c r="C177" s="37" t="s">
        <v>350</v>
      </c>
      <c r="D177" s="2">
        <v>1</v>
      </c>
      <c r="E177" s="2">
        <v>2</v>
      </c>
      <c r="F177" s="13"/>
      <c r="G177" s="13">
        <v>5000000</v>
      </c>
      <c r="H177" s="2" t="s">
        <v>3</v>
      </c>
      <c r="I177" s="2" t="s">
        <v>4</v>
      </c>
      <c r="J177" s="2" t="s">
        <v>5</v>
      </c>
      <c r="K177" s="2">
        <f t="shared" si="2"/>
        <v>66</v>
      </c>
    </row>
    <row r="178" spans="1:11" x14ac:dyDescent="0.2">
      <c r="A178" s="1">
        <v>43557</v>
      </c>
      <c r="B178" s="62" t="s">
        <v>249</v>
      </c>
      <c r="C178" s="37" t="s">
        <v>352</v>
      </c>
      <c r="D178" s="2">
        <v>50</v>
      </c>
      <c r="E178" s="2">
        <v>1</v>
      </c>
      <c r="F178" s="13">
        <v>3000000</v>
      </c>
      <c r="G178" s="13"/>
      <c r="H178" s="2" t="s">
        <v>2</v>
      </c>
      <c r="I178" s="2" t="s">
        <v>60</v>
      </c>
      <c r="J178" s="2" t="s">
        <v>60</v>
      </c>
      <c r="K178" s="2">
        <f t="shared" si="2"/>
        <v>67</v>
      </c>
    </row>
    <row r="179" spans="1:11" x14ac:dyDescent="0.2">
      <c r="A179" s="1">
        <v>43557</v>
      </c>
      <c r="B179" s="62" t="s">
        <v>249</v>
      </c>
      <c r="C179" s="37" t="s">
        <v>353</v>
      </c>
      <c r="D179" s="2">
        <v>52</v>
      </c>
      <c r="E179" s="2">
        <v>3</v>
      </c>
      <c r="F179" s="13">
        <v>2000000</v>
      </c>
      <c r="H179" s="2" t="s">
        <v>2</v>
      </c>
      <c r="I179" s="2" t="s">
        <v>61</v>
      </c>
      <c r="J179" s="2" t="s">
        <v>351</v>
      </c>
      <c r="K179" s="2">
        <f t="shared" si="2"/>
        <v>67</v>
      </c>
    </row>
    <row r="180" spans="1:11" x14ac:dyDescent="0.2">
      <c r="A180" s="1">
        <v>43557</v>
      </c>
      <c r="B180" s="62" t="s">
        <v>249</v>
      </c>
      <c r="C180" s="37" t="s">
        <v>350</v>
      </c>
      <c r="D180" s="2">
        <v>52</v>
      </c>
      <c r="E180" s="2">
        <v>2</v>
      </c>
      <c r="F180" s="13"/>
      <c r="G180" s="13">
        <v>5000000</v>
      </c>
      <c r="H180" s="2" t="s">
        <v>3</v>
      </c>
      <c r="I180" s="2" t="s">
        <v>61</v>
      </c>
      <c r="J180" s="2" t="s">
        <v>346</v>
      </c>
      <c r="K180" s="2">
        <f t="shared" si="2"/>
        <v>67</v>
      </c>
    </row>
    <row r="181" spans="1:11" x14ac:dyDescent="0.2">
      <c r="A181" s="1"/>
      <c r="B181" s="49"/>
    </row>
    <row r="182" spans="1:11" x14ac:dyDescent="0.2">
      <c r="A182" s="1"/>
      <c r="B182" s="49"/>
    </row>
    <row r="183" spans="1:11" x14ac:dyDescent="0.2">
      <c r="A183" s="1"/>
      <c r="B183" s="49"/>
    </row>
    <row r="184" spans="1:11" x14ac:dyDescent="0.2">
      <c r="A184" s="1"/>
      <c r="B184" s="49"/>
    </row>
    <row r="185" spans="1:11" x14ac:dyDescent="0.2">
      <c r="A185" s="1"/>
      <c r="B185" s="49"/>
    </row>
    <row r="186" spans="1:11" x14ac:dyDescent="0.2">
      <c r="A186" s="1"/>
      <c r="B186" s="49"/>
    </row>
    <row r="187" spans="1:11" x14ac:dyDescent="0.2">
      <c r="A187" s="1"/>
      <c r="B187" s="49"/>
    </row>
    <row r="188" spans="1:11" x14ac:dyDescent="0.2">
      <c r="A188" s="1"/>
      <c r="B188" s="49"/>
    </row>
    <row r="189" spans="1:11" x14ac:dyDescent="0.2">
      <c r="A189" s="1"/>
      <c r="B189" s="49"/>
    </row>
    <row r="190" spans="1:11" x14ac:dyDescent="0.2">
      <c r="A190" s="1"/>
      <c r="B190" s="49"/>
    </row>
    <row r="191" spans="1:11" x14ac:dyDescent="0.2">
      <c r="A191" s="1"/>
      <c r="B191" s="49"/>
    </row>
    <row r="192" spans="1:11" x14ac:dyDescent="0.2">
      <c r="A192" s="1"/>
      <c r="B192" s="49"/>
    </row>
    <row r="193" spans="1:2" x14ac:dyDescent="0.2">
      <c r="A193" s="1"/>
      <c r="B193" s="49"/>
    </row>
    <row r="194" spans="1:2" x14ac:dyDescent="0.2">
      <c r="B194" s="49"/>
    </row>
    <row r="195" spans="1:2" x14ac:dyDescent="0.2">
      <c r="B195" s="49"/>
    </row>
    <row r="196" spans="1:2" x14ac:dyDescent="0.2">
      <c r="B196" s="49"/>
    </row>
    <row r="197" spans="1:2" x14ac:dyDescent="0.2">
      <c r="B197" s="49"/>
    </row>
    <row r="198" spans="1:2" x14ac:dyDescent="0.2">
      <c r="B198" s="49"/>
    </row>
    <row r="199" spans="1:2" x14ac:dyDescent="0.2">
      <c r="B199" s="49"/>
    </row>
    <row r="200" spans="1:2" x14ac:dyDescent="0.2">
      <c r="B200" s="49"/>
    </row>
    <row r="201" spans="1:2" x14ac:dyDescent="0.2">
      <c r="B201" s="49"/>
    </row>
    <row r="202" spans="1:2" x14ac:dyDescent="0.2">
      <c r="B202" s="49"/>
    </row>
    <row r="203" spans="1:2" x14ac:dyDescent="0.2">
      <c r="B203" s="49"/>
    </row>
    <row r="204" spans="1:2" x14ac:dyDescent="0.2">
      <c r="B204" s="49"/>
    </row>
    <row r="205" spans="1:2" x14ac:dyDescent="0.2">
      <c r="B205" s="49"/>
    </row>
    <row r="206" spans="1:2" x14ac:dyDescent="0.2">
      <c r="B206" s="49"/>
    </row>
    <row r="207" spans="1:2" x14ac:dyDescent="0.2">
      <c r="B207" s="49"/>
    </row>
    <row r="208" spans="1:2" x14ac:dyDescent="0.2">
      <c r="B208" s="49"/>
    </row>
    <row r="209" spans="2:2" x14ac:dyDescent="0.2">
      <c r="B209" s="49"/>
    </row>
    <row r="210" spans="2:2" x14ac:dyDescent="0.2">
      <c r="B210" s="49"/>
    </row>
    <row r="211" spans="2:2" x14ac:dyDescent="0.2">
      <c r="B211" s="49"/>
    </row>
    <row r="212" spans="2:2" x14ac:dyDescent="0.2">
      <c r="B212" s="49"/>
    </row>
    <row r="213" spans="2:2" x14ac:dyDescent="0.2">
      <c r="B213" s="49"/>
    </row>
    <row r="214" spans="2:2" x14ac:dyDescent="0.2">
      <c r="B214" s="49"/>
    </row>
    <row r="215" spans="2:2" x14ac:dyDescent="0.2">
      <c r="B215" s="49"/>
    </row>
    <row r="216" spans="2:2" x14ac:dyDescent="0.2">
      <c r="B216" s="49"/>
    </row>
    <row r="217" spans="2:2" x14ac:dyDescent="0.2">
      <c r="B217" s="49"/>
    </row>
    <row r="218" spans="2:2" x14ac:dyDescent="0.2">
      <c r="B218" s="49"/>
    </row>
    <row r="219" spans="2:2" x14ac:dyDescent="0.2">
      <c r="B219" s="49"/>
    </row>
    <row r="220" spans="2:2" x14ac:dyDescent="0.2">
      <c r="B220" s="49"/>
    </row>
    <row r="221" spans="2:2" x14ac:dyDescent="0.2">
      <c r="B221" s="49"/>
    </row>
    <row r="222" spans="2:2" x14ac:dyDescent="0.2">
      <c r="B222" s="49"/>
    </row>
    <row r="223" spans="2:2" x14ac:dyDescent="0.2">
      <c r="B223" s="49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自动填制科目">
                <anchor moveWithCells="1" sizeWithCells="1">
                  <from>
                    <xdr:col>10</xdr:col>
                    <xdr:colOff>85725</xdr:colOff>
                    <xdr:row>0</xdr:row>
                    <xdr:rowOff>57150</xdr:rowOff>
                  </from>
                  <to>
                    <xdr:col>10</xdr:col>
                    <xdr:colOff>628650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2.自动生成账簿">
                <anchor moveWithCells="1" sizeWithCells="1">
                  <from>
                    <xdr:col>11</xdr:col>
                    <xdr:colOff>85725</xdr:colOff>
                    <xdr:row>0</xdr:row>
                    <xdr:rowOff>57150</xdr:rowOff>
                  </from>
                  <to>
                    <xdr:col>11</xdr:col>
                    <xdr:colOff>628650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基础知识</vt:lpstr>
      <vt:lpstr>凭证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2019-04-15T01:57:55Z</dcterms:modified>
</cp:coreProperties>
</file>